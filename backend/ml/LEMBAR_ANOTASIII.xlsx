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MyBook Hype\Downloads\"/>
    </mc:Choice>
  </mc:AlternateContent>
  <xr:revisionPtr revIDLastSave="0" documentId="8_{1B0BF173-5ACE-4E57-A06E-BB37F85B0EB8}" xr6:coauthVersionLast="47" xr6:coauthVersionMax="47" xr10:uidLastSave="{00000000-0000-0000-0000-000000000000}"/>
  <bookViews>
    <workbookView xWindow="-110" yWindow="-110" windowWidth="19420" windowHeight="10300" activeTab="2" xr2:uid="{00000000-000D-0000-FFFF-FFFF00000000}"/>
  </bookViews>
  <sheets>
    <sheet name="📋 PETUNJUK" sheetId="1" r:id="rId1"/>
    <sheet name="🅰️ ANOTATOR A" sheetId="2" r:id="rId2"/>
    <sheet name="🅱️ ANOTATOR B" sheetId="3" r:id="rId3"/>
    <sheet name="📊 HASIL IAA" sheetId="4" r:id="rId4"/>
    <sheet name="📖 REFERENSI LABEL"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88" i="4" l="1"/>
  <c r="C188" i="4"/>
  <c r="E188" i="4" s="1"/>
  <c r="D187" i="4"/>
  <c r="C187" i="4"/>
  <c r="D186" i="4"/>
  <c r="C186" i="4"/>
  <c r="D185" i="4"/>
  <c r="C185" i="4"/>
  <c r="E185" i="4" s="1"/>
  <c r="D184" i="4"/>
  <c r="C184" i="4"/>
  <c r="D183" i="4"/>
  <c r="C183" i="4"/>
  <c r="D182" i="4"/>
  <c r="C182" i="4"/>
  <c r="E182" i="4" s="1"/>
  <c r="D181" i="4"/>
  <c r="C181" i="4"/>
  <c r="E181" i="4" s="1"/>
  <c r="D180" i="4"/>
  <c r="C180" i="4"/>
  <c r="D179" i="4"/>
  <c r="C179" i="4"/>
  <c r="F179" i="4" s="1"/>
  <c r="D178" i="4"/>
  <c r="C178" i="4"/>
  <c r="E178" i="4" s="1"/>
  <c r="D177" i="4"/>
  <c r="C177" i="4"/>
  <c r="D176" i="4"/>
  <c r="C176" i="4"/>
  <c r="E176" i="4" s="1"/>
  <c r="D175" i="4"/>
  <c r="C175" i="4"/>
  <c r="F175" i="4" s="1"/>
  <c r="D174" i="4"/>
  <c r="C174" i="4"/>
  <c r="D173" i="4"/>
  <c r="C173" i="4"/>
  <c r="E173" i="4" s="1"/>
  <c r="D172" i="4"/>
  <c r="C172" i="4"/>
  <c r="E172" i="4" s="1"/>
  <c r="D171" i="4"/>
  <c r="C171" i="4"/>
  <c r="D170" i="4"/>
  <c r="C170" i="4"/>
  <c r="F170" i="4" s="1"/>
  <c r="D169" i="4"/>
  <c r="C169" i="4"/>
  <c r="E169" i="4" s="1"/>
  <c r="D168" i="4"/>
  <c r="C168" i="4"/>
  <c r="D167" i="4"/>
  <c r="C167" i="4"/>
  <c r="E167" i="4" s="1"/>
  <c r="D166" i="4"/>
  <c r="C166" i="4"/>
  <c r="D165" i="4"/>
  <c r="C165" i="4"/>
  <c r="D164" i="4"/>
  <c r="C164" i="4"/>
  <c r="E164" i="4" s="1"/>
  <c r="D163" i="4"/>
  <c r="C163" i="4"/>
  <c r="D162" i="4"/>
  <c r="C162" i="4"/>
  <c r="D161" i="4"/>
  <c r="C161" i="4"/>
  <c r="F161" i="4" s="1"/>
  <c r="D160" i="4"/>
  <c r="C160" i="4"/>
  <c r="D159" i="4"/>
  <c r="C159" i="4"/>
  <c r="D158" i="4"/>
  <c r="C158" i="4"/>
  <c r="D157" i="4"/>
  <c r="C157" i="4"/>
  <c r="F157" i="4" s="1"/>
  <c r="D156" i="4"/>
  <c r="C156" i="4"/>
  <c r="D155" i="4"/>
  <c r="C155" i="4"/>
  <c r="E155" i="4" s="1"/>
  <c r="D154" i="4"/>
  <c r="C154" i="4"/>
  <c r="E154" i="4" s="1"/>
  <c r="D153" i="4"/>
  <c r="C153" i="4"/>
  <c r="D152" i="4"/>
  <c r="C152" i="4"/>
  <c r="F152" i="4" s="1"/>
  <c r="D151" i="4"/>
  <c r="C151" i="4"/>
  <c r="E151" i="4" s="1"/>
  <c r="D150" i="4"/>
  <c r="C150" i="4"/>
  <c r="D149" i="4"/>
  <c r="C149" i="4"/>
  <c r="E149" i="4" s="1"/>
  <c r="D148" i="4"/>
  <c r="C148" i="4"/>
  <c r="D147" i="4"/>
  <c r="C147" i="4"/>
  <c r="D146" i="4"/>
  <c r="C146" i="4"/>
  <c r="E146" i="4" s="1"/>
  <c r="D145" i="4"/>
  <c r="C145" i="4"/>
  <c r="E145" i="4" s="1"/>
  <c r="D144" i="4"/>
  <c r="C144" i="4"/>
  <c r="D143" i="4"/>
  <c r="C143" i="4"/>
  <c r="F143" i="4" s="1"/>
  <c r="D142" i="4"/>
  <c r="F142" i="4" s="1"/>
  <c r="C142" i="4"/>
  <c r="E142" i="4" s="1"/>
  <c r="D141" i="4"/>
  <c r="C141" i="4"/>
  <c r="D140" i="4"/>
  <c r="C140" i="4"/>
  <c r="D139" i="4"/>
  <c r="C139" i="4"/>
  <c r="D138" i="4"/>
  <c r="C138" i="4"/>
  <c r="D137" i="4"/>
  <c r="C137" i="4"/>
  <c r="D136" i="4"/>
  <c r="C136" i="4"/>
  <c r="D135" i="4"/>
  <c r="C135" i="4"/>
  <c r="D134" i="4"/>
  <c r="C134" i="4"/>
  <c r="F134" i="4" s="1"/>
  <c r="D133" i="4"/>
  <c r="C133" i="4"/>
  <c r="D132" i="4"/>
  <c r="C132" i="4"/>
  <c r="D131" i="4"/>
  <c r="C131" i="4"/>
  <c r="D130" i="4"/>
  <c r="C130" i="4"/>
  <c r="F130" i="4" s="1"/>
  <c r="D129" i="4"/>
  <c r="C129" i="4"/>
  <c r="D128" i="4"/>
  <c r="C128" i="4"/>
  <c r="E128" i="4" s="1"/>
  <c r="D127" i="4"/>
  <c r="C127" i="4"/>
  <c r="D126" i="4"/>
  <c r="C126" i="4"/>
  <c r="D125" i="4"/>
  <c r="C125" i="4"/>
  <c r="D124" i="4"/>
  <c r="C124" i="4"/>
  <c r="E124" i="4" s="1"/>
  <c r="D123" i="4"/>
  <c r="C123" i="4"/>
  <c r="D122" i="4"/>
  <c r="C122" i="4"/>
  <c r="D121" i="4"/>
  <c r="C121" i="4"/>
  <c r="D120" i="4"/>
  <c r="C120" i="4"/>
  <c r="D119" i="4"/>
  <c r="C119" i="4"/>
  <c r="D118" i="4"/>
  <c r="C118" i="4"/>
  <c r="E118" i="4" s="1"/>
  <c r="D117" i="4"/>
  <c r="C117" i="4"/>
  <c r="D116" i="4"/>
  <c r="F116" i="4" s="1"/>
  <c r="C116" i="4"/>
  <c r="D115" i="4"/>
  <c r="C115" i="4"/>
  <c r="D114" i="4"/>
  <c r="C114" i="4"/>
  <c r="D113" i="4"/>
  <c r="C113" i="4"/>
  <c r="E113" i="4" s="1"/>
  <c r="D112" i="4"/>
  <c r="C112" i="4"/>
  <c r="D111" i="4"/>
  <c r="C111" i="4"/>
  <c r="D110" i="4"/>
  <c r="C110" i="4"/>
  <c r="D109" i="4"/>
  <c r="C109" i="4"/>
  <c r="D108" i="4"/>
  <c r="C108" i="4"/>
  <c r="D107" i="4"/>
  <c r="C107" i="4"/>
  <c r="F107" i="4" s="1"/>
  <c r="D106" i="4"/>
  <c r="C106" i="4"/>
  <c r="E106" i="4" s="1"/>
  <c r="D105" i="4"/>
  <c r="C105" i="4"/>
  <c r="D104" i="4"/>
  <c r="C104" i="4"/>
  <c r="E104" i="4" s="1"/>
  <c r="D103" i="4"/>
  <c r="C103" i="4"/>
  <c r="F103" i="4" s="1"/>
  <c r="D102" i="4"/>
  <c r="E102" i="4" s="1"/>
  <c r="C102" i="4"/>
  <c r="D101" i="4"/>
  <c r="C101" i="4"/>
  <c r="D100" i="4"/>
  <c r="C100" i="4"/>
  <c r="D99" i="4"/>
  <c r="C99" i="4"/>
  <c r="E99" i="4" s="1"/>
  <c r="D94" i="4"/>
  <c r="C94" i="4"/>
  <c r="D93" i="4"/>
  <c r="C93" i="4"/>
  <c r="D92" i="4"/>
  <c r="C92" i="4"/>
  <c r="F92" i="4" s="1"/>
  <c r="D91" i="4"/>
  <c r="C91" i="4"/>
  <c r="F91" i="4" s="1"/>
  <c r="D90" i="4"/>
  <c r="C90" i="4"/>
  <c r="D89" i="4"/>
  <c r="C89" i="4"/>
  <c r="D88" i="4"/>
  <c r="C88" i="4"/>
  <c r="D87" i="4"/>
  <c r="C87" i="4"/>
  <c r="D86" i="4"/>
  <c r="C86" i="4"/>
  <c r="D85" i="4"/>
  <c r="C85" i="4"/>
  <c r="D84" i="4"/>
  <c r="C84" i="4"/>
  <c r="E84" i="4" s="1"/>
  <c r="D83" i="4"/>
  <c r="C83" i="4"/>
  <c r="E83" i="4" s="1"/>
  <c r="D82" i="4"/>
  <c r="C82" i="4"/>
  <c r="D81" i="4"/>
  <c r="C81" i="4"/>
  <c r="D80" i="4"/>
  <c r="C80" i="4"/>
  <c r="F80" i="4" s="1"/>
  <c r="D79" i="4"/>
  <c r="C79" i="4"/>
  <c r="D78" i="4"/>
  <c r="C78" i="4"/>
  <c r="D77" i="4"/>
  <c r="C77" i="4"/>
  <c r="D76" i="4"/>
  <c r="C76" i="4"/>
  <c r="E76" i="4" s="1"/>
  <c r="D75" i="4"/>
  <c r="C75" i="4"/>
  <c r="F75" i="4" s="1"/>
  <c r="D74" i="4"/>
  <c r="C74" i="4"/>
  <c r="D73" i="4"/>
  <c r="C73" i="4"/>
  <c r="D72" i="4"/>
  <c r="C72" i="4"/>
  <c r="E72" i="4" s="1"/>
  <c r="D71" i="4"/>
  <c r="C71" i="4"/>
  <c r="E71" i="4" s="1"/>
  <c r="D70" i="4"/>
  <c r="C70" i="4"/>
  <c r="D69" i="4"/>
  <c r="C69" i="4"/>
  <c r="D68" i="4"/>
  <c r="C68" i="4"/>
  <c r="D67" i="4"/>
  <c r="C67" i="4"/>
  <c r="D66" i="4"/>
  <c r="C66" i="4"/>
  <c r="D65" i="4"/>
  <c r="C65" i="4"/>
  <c r="D64" i="4"/>
  <c r="C64" i="4"/>
  <c r="E64" i="4" s="1"/>
  <c r="D63" i="4"/>
  <c r="C63" i="4"/>
  <c r="F63" i="4" s="1"/>
  <c r="D62" i="4"/>
  <c r="C62" i="4"/>
  <c r="D61" i="4"/>
  <c r="C61" i="4"/>
  <c r="D60" i="4"/>
  <c r="C60" i="4"/>
  <c r="E60" i="4" s="1"/>
  <c r="D59" i="4"/>
  <c r="C59" i="4"/>
  <c r="E59" i="4" s="1"/>
  <c r="D58" i="4"/>
  <c r="C58" i="4"/>
  <c r="D57" i="4"/>
  <c r="C57" i="4"/>
  <c r="D56" i="4"/>
  <c r="C56" i="4"/>
  <c r="D55" i="4"/>
  <c r="C55" i="4"/>
  <c r="D54" i="4"/>
  <c r="C54" i="4"/>
  <c r="D53" i="4"/>
  <c r="C53" i="4"/>
  <c r="D52" i="4"/>
  <c r="C52" i="4"/>
  <c r="E52" i="4" s="1"/>
  <c r="D51" i="4"/>
  <c r="C51" i="4"/>
  <c r="F51" i="4" s="1"/>
  <c r="D50" i="4"/>
  <c r="C50" i="4"/>
  <c r="D49" i="4"/>
  <c r="C49" i="4"/>
  <c r="D48" i="4"/>
  <c r="C48" i="4"/>
  <c r="E48" i="4" s="1"/>
  <c r="D47" i="4"/>
  <c r="C47" i="4"/>
  <c r="E47" i="4" s="1"/>
  <c r="D46" i="4"/>
  <c r="C46" i="4"/>
  <c r="D45" i="4"/>
  <c r="C45" i="4"/>
  <c r="D44" i="4"/>
  <c r="C44" i="4"/>
  <c r="F44" i="4" s="1"/>
  <c r="D43" i="4"/>
  <c r="C43" i="4"/>
  <c r="F43" i="4" s="1"/>
  <c r="D42" i="4"/>
  <c r="C42" i="4"/>
  <c r="D41" i="4"/>
  <c r="C41" i="4"/>
  <c r="D40" i="4"/>
  <c r="C40" i="4"/>
  <c r="D39" i="4"/>
  <c r="C39" i="4"/>
  <c r="D38" i="4"/>
  <c r="C38" i="4"/>
  <c r="D37" i="4"/>
  <c r="C37" i="4"/>
  <c r="D36" i="4"/>
  <c r="C36" i="4"/>
  <c r="E36" i="4" s="1"/>
  <c r="D35" i="4"/>
  <c r="C35" i="4"/>
  <c r="D34" i="4"/>
  <c r="C34" i="4"/>
  <c r="D33" i="4"/>
  <c r="C33" i="4"/>
  <c r="D32" i="4"/>
  <c r="C32" i="4"/>
  <c r="D31" i="4"/>
  <c r="C31" i="4"/>
  <c r="F31" i="4" s="1"/>
  <c r="D30" i="4"/>
  <c r="C30" i="4"/>
  <c r="D29" i="4"/>
  <c r="C29" i="4"/>
  <c r="D28" i="4"/>
  <c r="C28" i="4"/>
  <c r="E28" i="4" s="1"/>
  <c r="D27" i="4"/>
  <c r="C27" i="4"/>
  <c r="D26" i="4"/>
  <c r="C26" i="4"/>
  <c r="D25" i="4"/>
  <c r="C25" i="4"/>
  <c r="D24" i="4"/>
  <c r="C24" i="4"/>
  <c r="D23" i="4"/>
  <c r="C23" i="4"/>
  <c r="D22" i="4"/>
  <c r="C22" i="4"/>
  <c r="D21" i="4"/>
  <c r="C21" i="4"/>
  <c r="D20" i="4"/>
  <c r="C20" i="4"/>
  <c r="F20" i="4" s="1"/>
  <c r="D19" i="4"/>
  <c r="C19" i="4"/>
  <c r="D18" i="4"/>
  <c r="C18" i="4"/>
  <c r="D17" i="4"/>
  <c r="C17" i="4"/>
  <c r="D16" i="4"/>
  <c r="C16" i="4"/>
  <c r="E16" i="4" s="1"/>
  <c r="D15" i="4"/>
  <c r="C15" i="4"/>
  <c r="D14" i="4"/>
  <c r="C14" i="4"/>
  <c r="D8" i="4"/>
  <c r="D5" i="4"/>
  <c r="E158" i="4" l="1"/>
  <c r="E160" i="4"/>
  <c r="E163" i="4"/>
  <c r="F166" i="4"/>
  <c r="F184" i="4"/>
  <c r="F148" i="4"/>
  <c r="E140" i="4"/>
  <c r="F139" i="4"/>
  <c r="E137" i="4"/>
  <c r="E136" i="4"/>
  <c r="E133" i="4"/>
  <c r="E131" i="4"/>
  <c r="E127" i="4"/>
  <c r="F125" i="4"/>
  <c r="E122" i="4"/>
  <c r="F121" i="4"/>
  <c r="E119" i="4"/>
  <c r="E115" i="4"/>
  <c r="F112" i="4"/>
  <c r="E110" i="4"/>
  <c r="E109" i="4"/>
  <c r="E100" i="4"/>
  <c r="E88" i="4"/>
  <c r="F87" i="4"/>
  <c r="F79" i="4"/>
  <c r="F68" i="4"/>
  <c r="F67" i="4"/>
  <c r="F55" i="4"/>
  <c r="F15" i="4"/>
  <c r="F56" i="4"/>
  <c r="E40" i="4"/>
  <c r="F39" i="4"/>
  <c r="E35" i="4"/>
  <c r="F32" i="4"/>
  <c r="F27" i="4"/>
  <c r="E24" i="4"/>
  <c r="E23" i="4"/>
  <c r="F19" i="4"/>
  <c r="F151" i="4"/>
  <c r="F160" i="4"/>
  <c r="F133" i="4"/>
  <c r="F124" i="4"/>
  <c r="F115" i="4"/>
  <c r="F106" i="4"/>
  <c r="F169" i="4"/>
  <c r="F178" i="4"/>
  <c r="F188" i="4"/>
  <c r="F101" i="4"/>
  <c r="E53" i="4"/>
  <c r="F57" i="4"/>
  <c r="F61" i="4"/>
  <c r="E65" i="4"/>
  <c r="F69" i="4"/>
  <c r="F73" i="4"/>
  <c r="E77" i="4"/>
  <c r="F81" i="4"/>
  <c r="F85" i="4"/>
  <c r="E89" i="4"/>
  <c r="F90" i="4"/>
  <c r="F93" i="4"/>
  <c r="F94" i="4"/>
  <c r="F49" i="4"/>
  <c r="F45" i="4"/>
  <c r="E41" i="4"/>
  <c r="F108" i="4"/>
  <c r="E108" i="4"/>
  <c r="F117" i="4"/>
  <c r="E117" i="4"/>
  <c r="F126" i="4"/>
  <c r="E126" i="4"/>
  <c r="F135" i="4"/>
  <c r="E135" i="4"/>
  <c r="F144" i="4"/>
  <c r="E144" i="4"/>
  <c r="F153" i="4"/>
  <c r="E153" i="4"/>
  <c r="F162" i="4"/>
  <c r="E162" i="4"/>
  <c r="F171" i="4"/>
  <c r="E171" i="4"/>
  <c r="F180" i="4"/>
  <c r="E180" i="4"/>
  <c r="F16" i="4"/>
  <c r="E20" i="4"/>
  <c r="F24" i="4"/>
  <c r="F28" i="4"/>
  <c r="E32" i="4"/>
  <c r="F36" i="4"/>
  <c r="F40" i="4"/>
  <c r="E44" i="4"/>
  <c r="F48" i="4"/>
  <c r="F52" i="4"/>
  <c r="E56" i="4"/>
  <c r="F60" i="4"/>
  <c r="F64" i="4"/>
  <c r="E68" i="4"/>
  <c r="F72" i="4"/>
  <c r="F76" i="4"/>
  <c r="E80" i="4"/>
  <c r="F84" i="4"/>
  <c r="F88" i="4"/>
  <c r="E92" i="4"/>
  <c r="F100" i="4"/>
  <c r="F104" i="4"/>
  <c r="F113" i="4"/>
  <c r="F122" i="4"/>
  <c r="F131" i="4"/>
  <c r="F140" i="4"/>
  <c r="F149" i="4"/>
  <c r="F158" i="4"/>
  <c r="F167" i="4"/>
  <c r="F176" i="4"/>
  <c r="F185" i="4"/>
  <c r="F17" i="4"/>
  <c r="E21" i="4"/>
  <c r="E25" i="4"/>
  <c r="F29" i="4"/>
  <c r="E33" i="4"/>
  <c r="E37" i="4"/>
  <c r="F41" i="4"/>
  <c r="E45" i="4"/>
  <c r="E49" i="4"/>
  <c r="F53" i="4"/>
  <c r="E57" i="4"/>
  <c r="E61" i="4"/>
  <c r="F65" i="4"/>
  <c r="E69" i="4"/>
  <c r="E73" i="4"/>
  <c r="F77" i="4"/>
  <c r="E81" i="4"/>
  <c r="E85" i="4"/>
  <c r="F89" i="4"/>
  <c r="E93" i="4"/>
  <c r="E101" i="4"/>
  <c r="F105" i="4"/>
  <c r="E105" i="4"/>
  <c r="F109" i="4"/>
  <c r="F114" i="4"/>
  <c r="E114" i="4"/>
  <c r="F118" i="4"/>
  <c r="F123" i="4"/>
  <c r="E123" i="4"/>
  <c r="F127" i="4"/>
  <c r="F132" i="4"/>
  <c r="E132" i="4"/>
  <c r="F136" i="4"/>
  <c r="F141" i="4"/>
  <c r="E141" i="4"/>
  <c r="F145" i="4"/>
  <c r="F150" i="4"/>
  <c r="E150" i="4"/>
  <c r="F154" i="4"/>
  <c r="F159" i="4"/>
  <c r="E159" i="4"/>
  <c r="F163" i="4"/>
  <c r="F168" i="4"/>
  <c r="E168" i="4"/>
  <c r="F172" i="4"/>
  <c r="F177" i="4"/>
  <c r="E177" i="4"/>
  <c r="F181" i="4"/>
  <c r="F186" i="4"/>
  <c r="E186" i="4"/>
  <c r="E17" i="4"/>
  <c r="F21" i="4"/>
  <c r="F25" i="4"/>
  <c r="E29" i="4"/>
  <c r="F33" i="4"/>
  <c r="F37" i="4"/>
  <c r="F187" i="4"/>
  <c r="E187" i="4"/>
  <c r="F14" i="4"/>
  <c r="E18" i="4"/>
  <c r="E22" i="4"/>
  <c r="F26" i="4"/>
  <c r="E30" i="4"/>
  <c r="E34" i="4"/>
  <c r="F38" i="4"/>
  <c r="E42" i="4"/>
  <c r="E46" i="4"/>
  <c r="F50" i="4"/>
  <c r="E54" i="4"/>
  <c r="E58" i="4"/>
  <c r="F62" i="4"/>
  <c r="E66" i="4"/>
  <c r="E70" i="4"/>
  <c r="F74" i="4"/>
  <c r="E78" i="4"/>
  <c r="E82" i="4"/>
  <c r="F86" i="4"/>
  <c r="E90" i="4"/>
  <c r="E94" i="4"/>
  <c r="F102" i="4"/>
  <c r="F110" i="4"/>
  <c r="F119" i="4"/>
  <c r="F128" i="4"/>
  <c r="F137" i="4"/>
  <c r="F146" i="4"/>
  <c r="F155" i="4"/>
  <c r="F164" i="4"/>
  <c r="F173" i="4"/>
  <c r="F182" i="4"/>
  <c r="F183" i="4"/>
  <c r="E183" i="4"/>
  <c r="F111" i="4"/>
  <c r="E111" i="4"/>
  <c r="F120" i="4"/>
  <c r="E120" i="4"/>
  <c r="F129" i="4"/>
  <c r="E129" i="4"/>
  <c r="F138" i="4"/>
  <c r="E138" i="4"/>
  <c r="F165" i="4"/>
  <c r="E165" i="4"/>
  <c r="E14" i="4"/>
  <c r="F18" i="4"/>
  <c r="F22" i="4"/>
  <c r="E26" i="4"/>
  <c r="F30" i="4"/>
  <c r="F34" i="4"/>
  <c r="E38" i="4"/>
  <c r="F42" i="4"/>
  <c r="F46" i="4"/>
  <c r="E50" i="4"/>
  <c r="F54" i="4"/>
  <c r="F58" i="4"/>
  <c r="E62" i="4"/>
  <c r="F66" i="4"/>
  <c r="F70" i="4"/>
  <c r="E74" i="4"/>
  <c r="F78" i="4"/>
  <c r="F82" i="4"/>
  <c r="E86" i="4"/>
  <c r="E107" i="4"/>
  <c r="E116" i="4"/>
  <c r="E125" i="4"/>
  <c r="E134" i="4"/>
  <c r="E143" i="4"/>
  <c r="E152" i="4"/>
  <c r="E161" i="4"/>
  <c r="E170" i="4"/>
  <c r="E179" i="4"/>
  <c r="F147" i="4"/>
  <c r="E147" i="4"/>
  <c r="F156" i="4"/>
  <c r="E156" i="4"/>
  <c r="F174" i="4"/>
  <c r="E174" i="4"/>
  <c r="E15" i="4"/>
  <c r="E19" i="4"/>
  <c r="F23" i="4"/>
  <c r="E27" i="4"/>
  <c r="E31" i="4"/>
  <c r="F35" i="4"/>
  <c r="E39" i="4"/>
  <c r="E43" i="4"/>
  <c r="F47" i="4"/>
  <c r="E51" i="4"/>
  <c r="E55" i="4"/>
  <c r="F59" i="4"/>
  <c r="E63" i="4"/>
  <c r="E67" i="4"/>
  <c r="F71" i="4"/>
  <c r="E75" i="4"/>
  <c r="E79" i="4"/>
  <c r="F83" i="4"/>
  <c r="E87" i="4"/>
  <c r="E91" i="4"/>
  <c r="F99" i="4"/>
  <c r="E103" i="4"/>
  <c r="E112" i="4"/>
  <c r="E121" i="4"/>
  <c r="E130" i="4"/>
  <c r="E139" i="4"/>
  <c r="E148" i="4"/>
  <c r="E157" i="4"/>
  <c r="E166" i="4"/>
  <c r="E175" i="4"/>
  <c r="E184" i="4"/>
  <c r="D7" i="4" l="1"/>
  <c r="D6" i="4"/>
</calcChain>
</file>

<file path=xl/sharedStrings.xml><?xml version="1.0" encoding="utf-8"?>
<sst xmlns="http://schemas.openxmlformats.org/spreadsheetml/2006/main" count="1648" uniqueCount="254">
  <si>
    <t>📝  LEMBAR ANOTASI IAA — ASPIRALYTICA</t>
  </si>
  <si>
    <t>Klasifikasi Sentimen &amp; Intent — Inter-Annotator Agreement (IAA)</t>
  </si>
  <si>
    <t>🎯 TUJUAN</t>
  </si>
  <si>
    <t>File ini untuk proses IAA. Dua anotator mengisi file SAMA secara TERPISAH tanpa diskusi terlebih dahulu.</t>
  </si>
  <si>
    <t>📂 SHEET</t>
  </si>
  <si>
    <t>🅰️ ANOTATOR A → Peneliti utama
🅱️ ANOTATOR B → Anotator kedua (teman)
📊 HASIL IAA → Perbandingan otomatis
📖 REFERENSI → Definisi label</t>
  </si>
  <si>
    <t>⚠️ ATURAN</t>
  </si>
  <si>
    <t>1. A dan B TIDAK BOLEH diskusi sebelum selesai
2. Isi sheet masing-masing saja
3. Baca sheet REFERENSI LABEL sebelum mulai
4. Jika ragu → isi kolom Catatan + flag ❓</t>
  </si>
  <si>
    <t>⏱️ WAKTU</t>
  </si>
  <si>
    <t>Sentimen: 81 teks ≈ 45–60 menit
Intent: 90 teks ≈ 60–80 menit
Total: ± 2 jam per anotator</t>
  </si>
  <si>
    <t>📌 LABEL</t>
  </si>
  <si>
    <t>SENTIMEN: positif | negatif | netral
INTENT: keluhan | permintaan | saran | apresiasi | darurat</t>
  </si>
  <si>
    <t>BAGIAN 1 — KLASIFIKASI SENTIMEN (Anotator A — Peneliti Utama)   |   81 teks   |   positif · negatif · netral</t>
  </si>
  <si>
    <t>No.</t>
  </si>
  <si>
    <t>Teks Laporan Warga</t>
  </si>
  <si>
    <t>Label Sentimen ▼</t>
  </si>
  <si>
    <t>Label Intent</t>
  </si>
  <si>
    <t>Flag ▼</t>
  </si>
  <si>
    <t>Catatan (opsional)</t>
  </si>
  <si>
    <t>bangga sama karena pembangunan selesai tepat waktu. ditingkatkan lagi</t>
  </si>
  <si>
    <t>—</t>
  </si>
  <si>
    <t>✅ Yakin</t>
  </si>
  <si>
    <t>layanan kesehatan perlu diperbaiki agar lebih layak digunakan warga</t>
  </si>
  <si>
    <t>got udah dikeruk ga banjir lagi! mantap bgt. pertahankan terus ya</t>
  </si>
  <si>
    <t>petugas mampet banjir tiap hujan udah sebulan lebih</t>
  </si>
  <si>
    <t>pelayanan tidak layak sangat memprihatinkan udah 3 hari</t>
  </si>
  <si>
    <t>smart city tapi loading terus ga bisa masuk, gimana ya</t>
  </si>
  <si>
    <t>syukurlah taman udah bersih indah</t>
  </si>
  <si>
    <t>info tentang program beasiswa di kecamatan gimana ya prosedurnya</t>
  </si>
  <si>
    <t>info tentang pembuatan KTP di kantor pelayanan gimana ya prosedurnya</t>
  </si>
  <si>
    <t>Prosedur pengajuan surat keterangan domisili yang diperlukan</t>
  </si>
  <si>
    <t>trotoar makin parah dari hari ke hari ga pernah beres</t>
  </si>
  <si>
    <t>Saran agar jam pelayanan kantor diperpanjang sampai sore</t>
  </si>
  <si>
    <t>puas bgt sama program ini tepat sasaran</t>
  </si>
  <si>
    <t>pelayanan prima katanya, realitanya dokumennya minta ini itu terus</t>
  </si>
  <si>
    <t>drainase bocor sudah lama diabaikan dari dulu</t>
  </si>
  <si>
    <t>udah lapor soal jalan di sini tapi numpuk ga diangkut-angkut terus, ini sudah darurat</t>
  </si>
  <si>
    <t>aplikasi pelayanan mudah dipake, bangga sama deh</t>
  </si>
  <si>
    <t>puskesmas rusak parah ga diperbaiki udah sebulan lebih</t>
  </si>
  <si>
    <t>biaya dan proses program bantuan rumah</t>
  </si>
  <si>
    <t>sampah jorok tidak terawat sama sekali terus-terusan</t>
  </si>
  <si>
    <t>sampah udah numpuk ga diangkut-angkut udah berminggu-minggu, minta tolong ditangani</t>
  </si>
  <si>
    <t>gimana prosedur pengajuan izin keramaian untuk acara</t>
  </si>
  <si>
    <t>ga pernah beres drainase rusak parah ga diperbaiki, kami udah capek nunggu</t>
  </si>
  <si>
    <t>udah lapor soal trotoar tapi jorok tidak terawat sama sekali terus, warga kecewa besar</t>
  </si>
  <si>
    <t>pemerintah responsif bgt kali ini masalah langsung ditangani</t>
  </si>
  <si>
    <t>Prosedur perpanjangan SIM di Samsat terdekat</t>
  </si>
  <si>
    <t>petugas responsif bgt, mantap bgt deh</t>
  </si>
  <si>
    <t>info tentang vaksinasi di kecamatan gimana ya prosedurnya</t>
  </si>
  <si>
    <t>gimana cara daftarin anak ke sekolah negeri favorit</t>
  </si>
  <si>
    <t>fasilitas drainase berjalan normal sesuai jam operasional</t>
  </si>
  <si>
    <t>biaya dan proses angkutan sampah</t>
  </si>
  <si>
    <t>sebaiknya ada jadwal rutin pemeliharaan jalan tiap bulan</t>
  </si>
  <si>
    <t>trotoar makin parah dari hari ke hari udah berminggu-minggu</t>
  </si>
  <si>
    <t>angkutan umum perlu diperbaiki agar lebih layak digunakan warga</t>
  </si>
  <si>
    <t>Tanah longsor membahayakan warga situasi sangat mengkhawatirkan</t>
  </si>
  <si>
    <t>taman udah bersih indah! seneng banget. ini yang kami harapkan selama ini</t>
  </si>
  <si>
    <t>info tentang program bantuan rumah di dinas terkait gimana ya prosedurnya</t>
  </si>
  <si>
    <t>kok kondisi lingkungan bocor sudah lama diabaikan terus sih dari dulu? warga kecewa besar</t>
  </si>
  <si>
    <t>petugas tidak datang sesuai jadwal yang sudah ditentukan</t>
  </si>
  <si>
    <t>Alhamdulillah jalan sudah diperbaiki tidak berlubang lagi</t>
  </si>
  <si>
    <t>fasilitas lampu jalan berjalan normal sesuai jam operasional</t>
  </si>
  <si>
    <t>Informasi tentang jadwal pengangkutan sampah di wilayah ini</t>
  </si>
  <si>
    <t>alhamdulillah karena pembangunan selesai tepat waktu. ditingkatkan lagi</t>
  </si>
  <si>
    <t>syarat program bantuan rumah untuk warga</t>
  </si>
  <si>
    <t>kok jalan di sini tidak layak sangat memprihatinkan terus sih dari bulan lalu? pemerintah tidak peduli</t>
  </si>
  <si>
    <t>info tentang pelayanan publik di dinas terkait gimana ya prosedurnya</t>
  </si>
  <si>
    <t>makasih pemerintah udah peduli sama kondisi lingkungan</t>
  </si>
  <si>
    <t>sampah rutin diangkut, mantap bgt deh</t>
  </si>
  <si>
    <t>Alhamdulillah masalah air bersih sudah teratasi dengan baik</t>
  </si>
  <si>
    <t>Lampu tidak menyala gelap berbahaya sudah berminggu-minggu</t>
  </si>
  <si>
    <t>kondisi lingkungan udah mampet banjir tiap hujan dari dulu, kami udah capek nunggu</t>
  </si>
  <si>
    <t>lampu jalan perlu diperbaiki agar lebih layak digunakan warga</t>
  </si>
  <si>
    <t>petugas tidak berfungsi sudah berbulan-bulan terus-terusan</t>
  </si>
  <si>
    <t>pelayanan kantor lambat bgt ga memuaskan sama sekali</t>
  </si>
  <si>
    <t>Terima kasih pemerintah yang tanggap dan peduli kepada warga</t>
  </si>
  <si>
    <t>pelayanan administrasi sangat memuaskan dan efisien bgt</t>
  </si>
  <si>
    <t>got udah dikeruk ga banjir lagi, alhamdulillah deh</t>
  </si>
  <si>
    <t>alhamdulillah program bansos tepat sasaran dan bermanfaat</t>
  </si>
  <si>
    <t>lampu udah dipasang dan nyala! keren bgt.</t>
  </si>
  <si>
    <t>mantap bgt bansos tepat sasaran dan cepat cair</t>
  </si>
  <si>
    <t>Pelayanan administrasi sangat memuaskan dan sangat efisien</t>
  </si>
  <si>
    <t>Lebih baik bila ada aplikasi untuk melapor kerusakan fasilitas</t>
  </si>
  <si>
    <t>udah lapor soal petugas tapi bocor sudah lama diabaikan terus, sangat mengecewakan</t>
  </si>
  <si>
    <t>biaya dan proses pembuatan KTP</t>
  </si>
  <si>
    <t>makasih taman kota udah bersih dan terawat sangat indah</t>
  </si>
  <si>
    <t>seneng bgt lampu jalan udah dipasang wilayah jadi terang</t>
  </si>
  <si>
    <t>bertahun-tahun sampah numpuk ga diangkut-angkut, percuma lapor</t>
  </si>
  <si>
    <t>fasilitas udah layak! makasih banyak ya. semoga makin baik</t>
  </si>
  <si>
    <t>info jam pelayanan kantor kelurahan gimana caranya</t>
  </si>
  <si>
    <t>udah lapor soal petugas tapi mati terus ga ada yang benerin terus, laporan tidak direspons</t>
  </si>
  <si>
    <t>mantap bgt puskesmas pelayanannya meningkat</t>
  </si>
  <si>
    <t>bansos tepat sasaran dan cepat cair! top bgt.</t>
  </si>
  <si>
    <t>harap sediain tempat sampah lebih banyak di taman ini</t>
  </si>
  <si>
    <t>kondisi lingkungan terus mengalami perkembangan ke arah lebih baik</t>
  </si>
  <si>
    <t>kondisi jalan udah bagus bgt nyaman dilalui pengendara</t>
  </si>
  <si>
    <t>trotoar udah mati terus ga ada yang benerin dari bulan lalu, sangat mengecewakan</t>
  </si>
  <si>
    <t>keren bgt karena fasilitas udah layak. lanjutkan programnya</t>
  </si>
  <si>
    <t>kok fasilitas bocor sudah lama diabaikan terus sih udah sebulan lebih? ini sudah darurat</t>
  </si>
  <si>
    <t>udah lapor soal got tapi makin parah dari hari ke hari terus, sangat mengecewakan</t>
  </si>
  <si>
    <t>cara mengurus program beasiswa</t>
  </si>
  <si>
    <t>kok pelayanan mati terus ga ada yang benerin terus sih bertahun-tahun? ini sudah darurat</t>
  </si>
  <si>
    <t>BAGIAN 2 — KLASIFIKASI INTENT (Anotator A — Peneliti Utama)   |   90 teks   |   keluhan · permintaan · saran · apresiasi · darurat</t>
  </si>
  <si>
    <t>Label Sentimen</t>
  </si>
  <si>
    <t>Label Intent ▼</t>
  </si>
  <si>
    <t>longsor di jalan di depan pasar, warga minta tolong segera</t>
  </si>
  <si>
    <t>air bersih ga ngalir udah 3 hari warga susah banget</t>
  </si>
  <si>
    <t>kayaknya perlu petugas lebih aktif dalam menangani sampah</t>
  </si>
  <si>
    <t>darurat! orang keracunan di belakang sekolah, butuh bantuan segera</t>
  </si>
  <si>
    <t>kami kapan diperbaiki dong tempat sampah baru secepatnya</t>
  </si>
  <si>
    <t>aplikasi pelayanan mudah dipake, petugasnya ramah bgt deh</t>
  </si>
  <si>
    <t>kebakaran dekat sungai, api udah gede banget tlg bantuan</t>
  </si>
  <si>
    <t>jalan ke sekolah rusak dan ga diperbaiki, dari dulu, ga ada yang dateng. udah muak</t>
  </si>
  <si>
    <t>jalan udah diaspal, terima kasih banyak deh</t>
  </si>
  <si>
    <t>usul biar lampu jalan diganti yang hemat energi led</t>
  </si>
  <si>
    <t>Pos ronda rubuh berbahaya tidak ada yang mau memperbaiki</t>
  </si>
  <si>
    <t>ada banjir bandang di jalan di depan pasar, minta tolong cepet!</t>
  </si>
  <si>
    <t>lebih baik kalau ada drainase yang lebih teratur, biar transparan dan akuntabel</t>
  </si>
  <si>
    <t>sampah numpuk terus, mestinya ada jadwal pengangkutan yang jelas</t>
  </si>
  <si>
    <t>warga minta sampah yang udah numpuk dong, warga udah nunggu lama</t>
  </si>
  <si>
    <t>Pelayanan di puskesmas sangat lambat antrean mengular panjang</t>
  </si>
  <si>
    <t>longsor di bantaran kali, warga minta tolong segera</t>
  </si>
  <si>
    <t>kami kapan dibenerin rambu di persimpangan secepatnya</t>
  </si>
  <si>
    <t>kayaknya perlu menambah petugas pelayanan publik, demi kenyamanan warga</t>
  </si>
  <si>
    <t>minta tolong zebra cross di depan sekolah ya</t>
  </si>
  <si>
    <t>Minta diadakan angkutan umum ke daerah terpencil kami</t>
  </si>
  <si>
    <t>akhirnya ditangani karena fasilitas udah diperbaiki, semoga terus begini</t>
  </si>
  <si>
    <t>Kendaraan berat sering lewat dan merusak jalan pemukiman</t>
  </si>
  <si>
    <t>minta tolong posyandu baru di sini dong, warga udah nunggu lama</t>
  </si>
  <si>
    <t>saran kami ada pos kesehatan yang lebih layak, supaya tidak berulang terus</t>
  </si>
  <si>
    <t>gas bocor di depan masjid!! tolong tim penanggulangan</t>
  </si>
  <si>
    <t>kapan diperbaiki dong jembatan yang udah lapuk dong, warga udah nunggu lama</t>
  </si>
  <si>
    <t>terima kasih udah membiarkan drainase ga berfungsi selama ini ya 😊</t>
  </si>
  <si>
    <t>saran: menambah petugas toilet umum agar lebih terjangkau</t>
  </si>
  <si>
    <t>saran: mengadakan sosialisasi sistem antrian demi keselamatan warga</t>
  </si>
  <si>
    <t>darurat! banjir bandang di gang sempit ujung, butuh bantuan segera</t>
  </si>
  <si>
    <t>Lift gedung pemerintah sering rusak tidak nyaman bagi lansia</t>
  </si>
  <si>
    <t>gerobak sampah ga pernah dibersihkan terus aja kayak gini, ga kunjung beres. 😡</t>
  </si>
  <si>
    <t>warga minta rambu di persimpangan dong, warga udah nunggu lama</t>
  </si>
  <si>
    <t>Sangat memuaskan hasil perbaikan yang dilakukan pemerintah</t>
  </si>
  <si>
    <t>mungkin perlu dinas kebersihan lebih konsisten dalam menangani fasilitas umum</t>
  </si>
  <si>
    <t>Tolong sediakan tempat sampah yang cukup di taman kota</t>
  </si>
  <si>
    <t>banjir udah masuk rumah di permukiman padat, tolong evakuasi</t>
  </si>
  <si>
    <t>mungkin perlu dinas kebersihan menambah armada fasilitas umum</t>
  </si>
  <si>
    <t>sangat puas sama pelayanan kantor yang cepet dan bagus</t>
  </si>
  <si>
    <t>kapan diperbaiki dong got yang mampet ini ya</t>
  </si>
  <si>
    <t>Papan nama jalan sudah hilang tidak ada penggantinya</t>
  </si>
  <si>
    <t>ada orang pingsan di gang sempit ujung, butuh ambulan sekarang</t>
  </si>
  <si>
    <t>disarankan agar ada penerangan gang yang lebih memadai, demi kenyamanan warga</t>
  </si>
  <si>
    <t>fasilitasnya jorok banget gak pernah dibersihkan petugas</t>
  </si>
  <si>
    <t>tiang listrik roboh di gang sempit ujung, berbahaya bgt</t>
  </si>
  <si>
    <t>kami minta zebra cross di depan sekolah dong, warga udah nunggu lama</t>
  </si>
  <si>
    <t>darurat! banjir bandang di dekat sungai, butuh bantuan segera</t>
  </si>
  <si>
    <t>ada pipa gas bocor darurat di bantaran kali tolong respon cepet</t>
  </si>
  <si>
    <t>responsif banget karena drainase udah dibersihkan, semoga terus begini</t>
  </si>
  <si>
    <t>Terima kasih drainase sudah dibersihkan banjir berkurang</t>
  </si>
  <si>
    <t>pelayanan birokrasi lambat banget dan ga transparan</t>
  </si>
  <si>
    <t>got mampet mulu, kayaknya perlu dikeruk rutin setiap bulan</t>
  </si>
  <si>
    <t>Saran agar kantor pelayanan terpadu segera dibuka di daerah</t>
  </si>
  <si>
    <t>tanggul sungai bocor berbahaya bgt warga resah</t>
  </si>
  <si>
    <t>pelayanan prima katanya, realitanya disuruh balik lagi besok</t>
  </si>
  <si>
    <t>darurat! kecelakaan parah di bantaran kali, butuh bantuan segera</t>
  </si>
  <si>
    <t>keren bgt, banjir udah berkurang</t>
  </si>
  <si>
    <t>Penerangan jalan di gang kampung mati total sudah lama sekali</t>
  </si>
  <si>
    <t>harap segera penerangan gang ini ya</t>
  </si>
  <si>
    <t>toilet umum jorok, harusnya ada petugas jaga dan bersihin</t>
  </si>
  <si>
    <t>Saluran got tersumbat menimbulkan bau tidak sedap dimana-mana</t>
  </si>
  <si>
    <t>lebih baik kalau melibatkan warga dalam perencanaan toilet umum, biar tidak terjadi lagi masalah ini</t>
  </si>
  <si>
    <t>ada orang keracunan di perumahan blok c, minta tolong cepet!</t>
  </si>
  <si>
    <t>kami cepetan dong penerangan gang ini secepatnya</t>
  </si>
  <si>
    <t>kapan diangkut zebra cross di depan sekolah dong, warga udah nunggu lama</t>
  </si>
  <si>
    <t>Fasilitas MCK umum kotor dan tidak pernah dibersihkan petugas</t>
  </si>
  <si>
    <t>langsung ditangani, puas bgt deh</t>
  </si>
  <si>
    <t>prosesnya dipercepat, akhirnya ditangani deh</t>
  </si>
  <si>
    <t>petugasnya ramah bgt karena fasilitas udah diperbaiki, semoga terus begini</t>
  </si>
  <si>
    <t>alangkah baiknya ada penerangan gang yang lebih teratur, agar warga tidak kesulitan</t>
  </si>
  <si>
    <t>mungkin perlu ada penerangan gang yang lebih teratur, supaya tidak berulang terus</t>
  </si>
  <si>
    <t>usul kami dinas kebersihan menambah petugas aplikasi pengaduan</t>
  </si>
  <si>
    <t>harap segera sampah yang udah numpuk dong, warga udah nunggu lama</t>
  </si>
  <si>
    <t>keren bgt, trotoar udah bagus</t>
  </si>
  <si>
    <t>tolong dong segera drainase yang tersumbat dong, warga udah nunggu lama</t>
  </si>
  <si>
    <t>jalan udah diperbaiki, petugasnya ramah bgt deh</t>
  </si>
  <si>
    <t>tolong! kebakaran belakang sekolah, ada korban</t>
  </si>
  <si>
    <t>tolong ya lampu jalan di sini ya</t>
  </si>
  <si>
    <t>kami pliss dong jembatan yang udah lapuk secepatnya</t>
  </si>
  <si>
    <t>seneng bgt deh karena jembatan udah aman, semoga terus begini</t>
  </si>
  <si>
    <t>taman udah dibersihkan, keren bgt deh</t>
  </si>
  <si>
    <t>ada dinding ambruk darurat di gang sempit ujung tolong respon cepet</t>
  </si>
  <si>
    <t>tiang listrik roboh di bantaran kali, berbahaya bgt</t>
  </si>
  <si>
    <t>udah capek lapor berkali2 tapi ngga ada respons sama sekali</t>
  </si>
  <si>
    <t>banjir udah berkurang, petugasnya ramah bgt deh</t>
  </si>
  <si>
    <t>terima kasih taman udah dibersihkan, kalau ada kursi lebih oke</t>
  </si>
  <si>
    <t>BAGIAN 1 — KLASIFIKASI SENTIMEN (Anotator B — Anotator Kedua)   |   81 teks   |   positif · negatif · netral</t>
  </si>
  <si>
    <t>BAGIAN 2 — KLASIFIKASI INTENT (Anotator B — Anotator Kedua)   |   90 teks   |   keluhan · permintaan · saran · apresiasi · darurat</t>
  </si>
  <si>
    <t>📊  HASIL INTER-ANNOTATOR AGREEMENT (IAA) — ASPIRALYTICA</t>
  </si>
  <si>
    <t>Sheet ini membandingkan label A dan B secara otomatis. Isi dulu kedua sheet anotator, lalu lihat hasil di sini.</t>
  </si>
  <si>
    <t>RINGKASAN SENTIMEN</t>
  </si>
  <si>
    <t>Total teks sentimen</t>
  </si>
  <si>
    <t>Agreement (sama)</t>
  </si>
  <si>
    <t>Disagreement (beda)</t>
  </si>
  <si>
    <t>% Agreement</t>
  </si>
  <si>
    <t>⚠️  Hitung Cohen's Kappa dengan Python: from sklearn.metrics import cohen_kappa_score  — target κ ≥ 0.61</t>
  </si>
  <si>
    <t xml:space="preserve">    cohen_kappa_score(labels_A, labels_B)   →  paste list label dari kolom C (Anotator A) dan D (Anotator B)</t>
  </si>
  <si>
    <t>TABEL PERBANDINGAN — SENTIMEN</t>
  </si>
  <si>
    <t>Teks</t>
  </si>
  <si>
    <t>Label A</t>
  </si>
  <si>
    <t>Label B</t>
  </si>
  <si>
    <t>Status</t>
  </si>
  <si>
    <t>Konflik</t>
  </si>
  <si>
    <t>TABEL PERBANDINGAN — INTENT</t>
  </si>
  <si>
    <t>📖  REFERENSI CEPAT — BUKA SAAT ANOTASI</t>
  </si>
  <si>
    <t>SENTIMEN</t>
  </si>
  <si>
    <t>Label</t>
  </si>
  <si>
    <t>Definisi Singkat</t>
  </si>
  <si>
    <t>Contoh</t>
  </si>
  <si>
    <t>positif</t>
  </si>
  <si>
    <t>Kepuasan/pujian/apresiasi terhadap layanan</t>
  </si>
  <si>
    <t>Pelayanan cepat dan petugasnya ramah sekali</t>
  </si>
  <si>
    <t>negatif</t>
  </si>
  <si>
    <t>Ketidakpuasan/keluhan/kecewa. Termasuk implisit.</t>
  </si>
  <si>
    <t>Jalan rusak berbulan-bulan tidak ada perbaikan</t>
  </si>
  <si>
    <t>netral</t>
  </si>
  <si>
    <t>Informatif/deskriptif tanpa emosi dominan</t>
  </si>
  <si>
    <t>Ada pohon tumbang di Jl. Pahlawan setelah hujan</t>
  </si>
  <si>
    <t>INTENT</t>
  </si>
  <si>
    <t>keluhan</t>
  </si>
  <si>
    <t>Masalah/kondisi buruk tanpa permintaan eksplisit</t>
  </si>
  <si>
    <t>Jalan berlubang sejak lama tidak diperbaiki</t>
  </si>
  <si>
    <t>permintaan</t>
  </si>
  <si>
    <t>Permintaan: mohon/tolong/minta + objek jelas</t>
  </si>
  <si>
    <t>Mohon segera perbaiki lampu jalan RT 05</t>
  </si>
  <si>
    <t>saran</t>
  </si>
  <si>
    <t>Rekomendasi: sebaiknya/seharusnya/alangkah</t>
  </si>
  <si>
    <t>Sebaiknya jam Puskesmas diperpanjang sampai malam</t>
  </si>
  <si>
    <t>apresiasi</t>
  </si>
  <si>
    <t>Terima kasih/pujian terhadap kinerja petugas</t>
  </si>
  <si>
    <t>Terima kasih Dinas PU atas perbaikan jalan cepat</t>
  </si>
  <si>
    <t>darurat</t>
  </si>
  <si>
    <t>Ancaman jiwa/harta, perlu tindakan segera</t>
  </si>
  <si>
    <t>DARURAT! Kebakaran di Jl. Merdeka, tolong!</t>
  </si>
  <si>
    <t>⚠️  KASUS BATAS (PALING SERING MEMBINGUNGKAN)</t>
  </si>
  <si>
    <t>NEGATIF vs NETRAL</t>
  </si>
  <si>
    <t>Ada frustrasi/implikatur → NEGATIF
Fakta murni tanpa emosi → NETRAL</t>
  </si>
  <si>
    <t>"Sudah 3 bulan tidak diperbaiki" → NEGATIF
"Ada jalan rusak di Jl. Sudirman" → NETRAL</t>
  </si>
  <si>
    <t>KELUHAN vs SARAN</t>
  </si>
  <si>
    <t>Fokus masalah → KELUHAN
Fokus solusi → SARAN</t>
  </si>
  <si>
    <t>"Drainase mampet banjir terus" → KELUHAN
"Sebaiknya drainase dibersihkan rutin" → SARAN</t>
  </si>
  <si>
    <t>KELUHAN vs PERMINTAAN</t>
  </si>
  <si>
    <t>Tanpa modal request → KELUHAN
Ada tolong/mohon + objek → PERMINTAAN</t>
  </si>
  <si>
    <t>"Lampu mati 2 minggu" → KELUHAN
"Tolong perbaiki lampu RT 05" → PERMINTAAN</t>
  </si>
  <si>
    <t>SARKASME</t>
  </si>
  <si>
    <t>Positif + kontradiksi = NEGATIF + KELUHAN</t>
  </si>
  <si>
    <t>"Mantap sekali, padahal nunggu 3 jam" → NEGATIF</t>
  </si>
  <si>
    <t>❓ Ragu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</si>
</sst>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5"/>
      <color rgb="FF2E4057"/>
      <name val="Arial"/>
    </font>
    <font>
      <sz val="10"/>
      <color rgb="FF555555"/>
      <name val="Arial"/>
    </font>
    <font>
      <b/>
      <sz val="10"/>
      <color rgb="FF2E4057"/>
      <name val="Arial"/>
    </font>
    <font>
      <sz val="10"/>
      <color rgb="FF111111"/>
      <name val="Arial"/>
    </font>
    <font>
      <b/>
      <sz val="11"/>
      <color rgb="FFFFFFFF"/>
      <name val="Arial"/>
    </font>
    <font>
      <b/>
      <sz val="10"/>
      <color rgb="FFFFFFFF"/>
      <name val="Arial"/>
    </font>
    <font>
      <b/>
      <sz val="10"/>
      <color rgb="FF000000"/>
      <name val="Arial"/>
    </font>
    <font>
      <sz val="10"/>
      <color rgb="FF000000"/>
      <name val="Arial"/>
    </font>
    <font>
      <b/>
      <sz val="10"/>
      <color rgb="FF1A237E"/>
      <name val="Arial"/>
    </font>
    <font>
      <sz val="9"/>
      <color rgb="FFAAAAAA"/>
      <name val="Arial"/>
    </font>
    <font>
      <b/>
      <sz val="10"/>
      <color rgb="FF1B5E20"/>
      <name val="Arial"/>
    </font>
    <font>
      <b/>
      <sz val="13"/>
      <color rgb="FFFFFFFF"/>
      <name val="Arial"/>
    </font>
    <font>
      <sz val="10"/>
      <color rgb="FFB71C1C"/>
      <name val="Arial"/>
    </font>
    <font>
      <sz val="9"/>
      <color rgb="FF1A237E"/>
      <name val="Arial"/>
    </font>
    <font>
      <b/>
      <sz val="9"/>
      <color rgb="FF000000"/>
      <name val="Arial"/>
    </font>
    <font>
      <sz val="9"/>
      <color rgb="FF000000"/>
      <name val="Arial"/>
    </font>
    <font>
      <b/>
      <sz val="10"/>
      <color rgb="FF880E4F"/>
      <name val="Arial"/>
    </font>
    <font>
      <sz val="9"/>
      <color rgb="FFB71C1C"/>
      <name val="Arial"/>
    </font>
  </fonts>
  <fills count="18">
    <fill>
      <patternFill patternType="none"/>
    </fill>
    <fill>
      <patternFill patternType="gray125"/>
    </fill>
    <fill>
      <patternFill patternType="solid">
        <fgColor rgb="FFEBF3FA"/>
      </patternFill>
    </fill>
    <fill>
      <patternFill patternType="solid">
        <fgColor rgb="FFE3F2FD"/>
      </patternFill>
    </fill>
    <fill>
      <patternFill patternType="solid">
        <fgColor rgb="FFE8F5E9"/>
      </patternFill>
    </fill>
    <fill>
      <patternFill patternType="solid">
        <fgColor rgb="FFFFEBEE"/>
      </patternFill>
    </fill>
    <fill>
      <patternFill patternType="solid">
        <fgColor rgb="FFFFF9C4"/>
      </patternFill>
    </fill>
    <fill>
      <patternFill patternType="solid">
        <fgColor rgb="FFFFF3E0"/>
      </patternFill>
    </fill>
    <fill>
      <patternFill patternType="solid">
        <fgColor rgb="FF2E4057"/>
      </patternFill>
    </fill>
    <fill>
      <patternFill patternType="solid">
        <fgColor rgb="FF4A7C9E"/>
      </patternFill>
    </fill>
    <fill>
      <patternFill patternType="solid">
        <fgColor rgb="FFFFFFFF"/>
      </patternFill>
    </fill>
    <fill>
      <patternFill patternType="solid">
        <fgColor rgb="FFF5F5F5"/>
      </patternFill>
    </fill>
    <fill>
      <patternFill patternType="solid">
        <fgColor rgb="FFFAFAFA"/>
      </patternFill>
    </fill>
    <fill>
      <patternFill patternType="solid">
        <fgColor rgb="FF2E7D32"/>
      </patternFill>
    </fill>
    <fill>
      <patternFill patternType="solid">
        <fgColor rgb="FF388E3C"/>
      </patternFill>
    </fill>
    <fill>
      <patternFill patternType="solid">
        <fgColor rgb="FFFCE4EC"/>
      </patternFill>
    </fill>
    <fill>
      <patternFill patternType="solid">
        <fgColor rgb="FFE8EAF6"/>
      </patternFill>
    </fill>
    <fill>
      <patternFill patternType="solid">
        <fgColor rgb="FFE65100"/>
      </patternFill>
    </fill>
  </fills>
  <borders count="4">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51">
    <xf numFmtId="0" fontId="0" fillId="0" borderId="0" xfId="0"/>
    <xf numFmtId="0" fontId="6" fillId="9" borderId="1" xfId="0" applyFont="1" applyFill="1" applyBorder="1" applyAlignment="1">
      <alignment horizontal="center" vertical="center" wrapText="1"/>
    </xf>
    <xf numFmtId="0" fontId="7" fillId="10" borderId="1" xfId="0" applyFont="1" applyFill="1" applyBorder="1" applyAlignment="1">
      <alignment horizontal="center" vertical="center"/>
    </xf>
    <xf numFmtId="0" fontId="8" fillId="10" borderId="1" xfId="0" applyFont="1" applyFill="1" applyBorder="1" applyAlignment="1">
      <alignment horizontal="left" vertical="center" wrapText="1"/>
    </xf>
    <xf numFmtId="0" fontId="9" fillId="3" borderId="1" xfId="0" applyFont="1" applyFill="1" applyBorder="1" applyAlignment="1">
      <alignment horizontal="center" vertical="center"/>
    </xf>
    <xf numFmtId="0" fontId="10" fillId="11" borderId="1" xfId="0" applyFont="1" applyFill="1" applyBorder="1" applyAlignment="1">
      <alignment horizontal="center" vertical="center"/>
    </xf>
    <xf numFmtId="0" fontId="0" fillId="10" borderId="1" xfId="0" applyFill="1" applyBorder="1" applyAlignment="1">
      <alignment horizontal="center" vertical="center"/>
    </xf>
    <xf numFmtId="0" fontId="0" fillId="10" borderId="1" xfId="0" applyFill="1" applyBorder="1" applyAlignment="1">
      <alignment horizontal="left" vertical="center" wrapText="1"/>
    </xf>
    <xf numFmtId="0" fontId="7" fillId="12" borderId="1" xfId="0" applyFont="1" applyFill="1" applyBorder="1" applyAlignment="1">
      <alignment horizontal="center" vertical="center"/>
    </xf>
    <xf numFmtId="0" fontId="8" fillId="12" borderId="1" xfId="0" applyFont="1" applyFill="1" applyBorder="1" applyAlignment="1">
      <alignment horizontal="left" vertical="center" wrapText="1"/>
    </xf>
    <xf numFmtId="0" fontId="0" fillId="12" borderId="1" xfId="0" applyFill="1" applyBorder="1" applyAlignment="1">
      <alignment horizontal="center" vertical="center"/>
    </xf>
    <xf numFmtId="0" fontId="0" fillId="12" borderId="1" xfId="0" applyFill="1" applyBorder="1" applyAlignment="1">
      <alignment horizontal="left" vertical="center" wrapText="1"/>
    </xf>
    <xf numFmtId="0" fontId="6" fillId="14" borderId="1" xfId="0" applyFont="1" applyFill="1" applyBorder="1" applyAlignment="1">
      <alignment horizontal="center" vertical="center" wrapText="1"/>
    </xf>
    <xf numFmtId="0" fontId="11" fillId="3" borderId="1" xfId="0" applyFont="1" applyFill="1" applyBorder="1" applyAlignment="1">
      <alignment horizontal="center" vertical="center"/>
    </xf>
    <xf numFmtId="0" fontId="9" fillId="15" borderId="1" xfId="0" applyFont="1" applyFill="1" applyBorder="1" applyAlignment="1">
      <alignment horizontal="center" vertical="center"/>
    </xf>
    <xf numFmtId="0" fontId="11" fillId="15" borderId="1" xfId="0" applyFont="1" applyFill="1" applyBorder="1" applyAlignment="1">
      <alignment horizontal="center" vertical="center"/>
    </xf>
    <xf numFmtId="0" fontId="15" fillId="10" borderId="1" xfId="0" applyFont="1" applyFill="1" applyBorder="1" applyAlignment="1">
      <alignment horizontal="center" vertical="center"/>
    </xf>
    <xf numFmtId="0" fontId="16" fillId="10" borderId="1" xfId="0" applyFont="1" applyFill="1" applyBorder="1" applyAlignment="1">
      <alignment horizontal="left" vertical="center" wrapText="1"/>
    </xf>
    <xf numFmtId="0" fontId="17" fillId="15" borderId="1" xfId="0" applyFont="1" applyFill="1" applyBorder="1" applyAlignment="1">
      <alignment horizontal="center" vertical="center"/>
    </xf>
    <xf numFmtId="0" fontId="18" fillId="10" borderId="1" xfId="0" applyFont="1" applyFill="1" applyBorder="1" applyAlignment="1">
      <alignment horizontal="center" vertical="center"/>
    </xf>
    <xf numFmtId="0" fontId="15" fillId="12" borderId="1" xfId="0" applyFont="1" applyFill="1" applyBorder="1" applyAlignment="1">
      <alignment horizontal="center" vertical="center"/>
    </xf>
    <xf numFmtId="0" fontId="16" fillId="12" borderId="1" xfId="0" applyFont="1" applyFill="1" applyBorder="1" applyAlignment="1">
      <alignment horizontal="left" vertical="center" wrapText="1"/>
    </xf>
    <xf numFmtId="0" fontId="18" fillId="12" borderId="1" xfId="0" applyFont="1" applyFill="1" applyBorder="1" applyAlignment="1">
      <alignment horizontal="center" vertical="center"/>
    </xf>
    <xf numFmtId="0" fontId="7" fillId="3" borderId="1" xfId="0" applyFont="1" applyFill="1" applyBorder="1" applyAlignment="1">
      <alignment horizontal="left" vertical="center" wrapText="1"/>
    </xf>
    <xf numFmtId="0" fontId="8" fillId="3"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15" fillId="7" borderId="1" xfId="0" applyFont="1" applyFill="1" applyBorder="1" applyAlignment="1">
      <alignment horizontal="left" vertical="center" wrapText="1"/>
    </xf>
    <xf numFmtId="0" fontId="1" fillId="2" borderId="0" xfId="0" applyFont="1" applyFill="1" applyAlignment="1">
      <alignment horizontal="center" vertical="center" wrapText="1"/>
    </xf>
    <xf numFmtId="0" fontId="0" fillId="0" borderId="0" xfId="0"/>
    <xf numFmtId="0" fontId="3" fillId="4" borderId="0" xfId="0" applyFont="1" applyFill="1" applyAlignment="1">
      <alignment horizontal="center" vertical="center" wrapText="1"/>
    </xf>
    <xf numFmtId="0" fontId="4" fillId="6" borderId="0" xfId="0" applyFont="1" applyFill="1" applyAlignment="1">
      <alignment horizontal="left" vertical="center" wrapText="1"/>
    </xf>
    <xf numFmtId="0" fontId="3" fillId="6" borderId="0" xfId="0" applyFont="1" applyFill="1" applyAlignment="1">
      <alignment horizontal="center" vertical="center" wrapText="1"/>
    </xf>
    <xf numFmtId="0" fontId="2" fillId="2" borderId="0" xfId="0" applyFont="1" applyFill="1" applyAlignment="1">
      <alignment horizontal="center" vertical="center"/>
    </xf>
    <xf numFmtId="0" fontId="3" fillId="3" borderId="0" xfId="0" applyFont="1" applyFill="1" applyAlignment="1">
      <alignment horizontal="center" vertical="center" wrapText="1"/>
    </xf>
    <xf numFmtId="0" fontId="4" fillId="3" borderId="0" xfId="0" applyFont="1" applyFill="1" applyAlignment="1">
      <alignment horizontal="left" vertical="center" wrapText="1"/>
    </xf>
    <xf numFmtId="0" fontId="4" fillId="7" borderId="0" xfId="0" applyFont="1" applyFill="1" applyAlignment="1">
      <alignment horizontal="left" vertical="center" wrapText="1"/>
    </xf>
    <xf numFmtId="0" fontId="3" fillId="7" borderId="0" xfId="0" applyFont="1" applyFill="1" applyAlignment="1">
      <alignment horizontal="center" vertical="center" wrapText="1"/>
    </xf>
    <xf numFmtId="0" fontId="4" fillId="4" borderId="0" xfId="0" applyFont="1" applyFill="1" applyAlignment="1">
      <alignment horizontal="left" vertical="center" wrapText="1"/>
    </xf>
    <xf numFmtId="0" fontId="4" fillId="5" borderId="0" xfId="0" applyFont="1" applyFill="1" applyAlignment="1">
      <alignment horizontal="left" vertical="center" wrapText="1"/>
    </xf>
    <xf numFmtId="0" fontId="3" fillId="5" borderId="0" xfId="0" applyFont="1" applyFill="1" applyAlignment="1">
      <alignment horizontal="center" vertical="center" wrapText="1"/>
    </xf>
    <xf numFmtId="0" fontId="5" fillId="13" borderId="0" xfId="0" applyFont="1" applyFill="1" applyAlignment="1">
      <alignment horizontal="center" vertical="center"/>
    </xf>
    <xf numFmtId="0" fontId="5" fillId="8" borderId="0" xfId="0" applyFont="1" applyFill="1" applyAlignment="1">
      <alignment horizontal="center" vertical="center"/>
    </xf>
    <xf numFmtId="0" fontId="5" fillId="9" borderId="0" xfId="0" applyFont="1" applyFill="1" applyAlignment="1">
      <alignment horizontal="center" vertical="center"/>
    </xf>
    <xf numFmtId="0" fontId="8" fillId="11" borderId="1" xfId="0" applyFont="1" applyFill="1" applyBorder="1" applyAlignment="1">
      <alignment horizontal="left" vertical="center"/>
    </xf>
    <xf numFmtId="0" fontId="0" fillId="0" borderId="2" xfId="0" applyBorder="1"/>
    <xf numFmtId="0" fontId="0" fillId="0" borderId="3" xfId="0" applyBorder="1"/>
    <xf numFmtId="0" fontId="14" fillId="16" borderId="0" xfId="0" applyFont="1" applyFill="1" applyAlignment="1">
      <alignment horizontal="left" vertical="center"/>
    </xf>
    <xf numFmtId="0" fontId="12" fillId="8" borderId="0" xfId="0" applyFont="1" applyFill="1" applyAlignment="1">
      <alignment horizontal="center" vertical="center"/>
    </xf>
    <xf numFmtId="0" fontId="13" fillId="5" borderId="0" xfId="0" applyFont="1" applyFill="1" applyAlignment="1">
      <alignment horizontal="left" vertical="center"/>
    </xf>
    <xf numFmtId="0" fontId="6" fillId="17"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18"/>
  <sheetViews>
    <sheetView showGridLines="0" topLeftCell="A2" workbookViewId="0"/>
  </sheetViews>
  <sheetFormatPr defaultRowHeight="14.5" x14ac:dyDescent="0.35"/>
  <cols>
    <col min="1" max="1" width="3" customWidth="1"/>
    <col min="2" max="2" width="30" customWidth="1"/>
    <col min="3" max="3" width="62" customWidth="1"/>
  </cols>
  <sheetData>
    <row r="1" spans="2:3" ht="36" customHeight="1" x14ac:dyDescent="0.35">
      <c r="B1" s="28" t="s">
        <v>0</v>
      </c>
      <c r="C1" s="29"/>
    </row>
    <row r="2" spans="2:3" ht="20" customHeight="1" x14ac:dyDescent="0.35">
      <c r="B2" s="33" t="s">
        <v>1</v>
      </c>
      <c r="C2" s="29"/>
    </row>
    <row r="4" spans="2:3" ht="22" customHeight="1" x14ac:dyDescent="0.35">
      <c r="B4" s="34" t="s">
        <v>2</v>
      </c>
      <c r="C4" s="35" t="s">
        <v>3</v>
      </c>
    </row>
    <row r="5" spans="2:3" ht="22" customHeight="1" x14ac:dyDescent="0.35">
      <c r="B5" s="29"/>
      <c r="C5" s="29"/>
    </row>
    <row r="6" spans="2:3" ht="22" customHeight="1" x14ac:dyDescent="0.35">
      <c r="B6" s="30" t="s">
        <v>4</v>
      </c>
      <c r="C6" s="38" t="s">
        <v>5</v>
      </c>
    </row>
    <row r="7" spans="2:3" ht="22" customHeight="1" x14ac:dyDescent="0.35">
      <c r="B7" s="29"/>
      <c r="C7" s="29"/>
    </row>
    <row r="10" spans="2:3" ht="22" customHeight="1" x14ac:dyDescent="0.35">
      <c r="B10" s="40" t="s">
        <v>6</v>
      </c>
      <c r="C10" s="39" t="s">
        <v>7</v>
      </c>
    </row>
    <row r="11" spans="2:3" ht="22" customHeight="1" x14ac:dyDescent="0.35">
      <c r="B11" s="29"/>
      <c r="C11" s="29"/>
    </row>
    <row r="14" spans="2:3" ht="22" customHeight="1" x14ac:dyDescent="0.35">
      <c r="B14" s="32" t="s">
        <v>8</v>
      </c>
      <c r="C14" s="31" t="s">
        <v>9</v>
      </c>
    </row>
    <row r="15" spans="2:3" ht="22" customHeight="1" x14ac:dyDescent="0.35">
      <c r="B15" s="29"/>
      <c r="C15" s="29"/>
    </row>
    <row r="17" spans="2:3" ht="22" customHeight="1" x14ac:dyDescent="0.35">
      <c r="B17" s="37" t="s">
        <v>10</v>
      </c>
      <c r="C17" s="36" t="s">
        <v>11</v>
      </c>
    </row>
    <row r="18" spans="2:3" ht="22" customHeight="1" x14ac:dyDescent="0.35">
      <c r="B18" s="29"/>
      <c r="C18" s="29"/>
    </row>
  </sheetData>
  <mergeCells count="12">
    <mergeCell ref="C17:C18"/>
    <mergeCell ref="B17:B18"/>
    <mergeCell ref="C6:C7"/>
    <mergeCell ref="C10:C11"/>
    <mergeCell ref="B10:B11"/>
    <mergeCell ref="B1:C1"/>
    <mergeCell ref="B6:B7"/>
    <mergeCell ref="C14:C15"/>
    <mergeCell ref="B14:B15"/>
    <mergeCell ref="B2:C2"/>
    <mergeCell ref="B4:B5"/>
    <mergeCell ref="C4:C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76"/>
  <sheetViews>
    <sheetView showGridLines="0" workbookViewId="0">
      <selection activeCell="D144" sqref="D144"/>
    </sheetView>
  </sheetViews>
  <sheetFormatPr defaultRowHeight="14.5" x14ac:dyDescent="0.35"/>
  <cols>
    <col min="1" max="1" width="5" customWidth="1"/>
    <col min="2" max="2" width="55" customWidth="1"/>
    <col min="3" max="4" width="16" customWidth="1"/>
    <col min="5" max="5" width="10" customWidth="1"/>
    <col min="6" max="6" width="32" customWidth="1"/>
  </cols>
  <sheetData>
    <row r="1" spans="1:6" ht="28" customHeight="1" x14ac:dyDescent="0.35">
      <c r="A1" s="42" t="s">
        <v>12</v>
      </c>
      <c r="B1" s="29"/>
      <c r="C1" s="29"/>
      <c r="D1" s="29"/>
      <c r="E1" s="29"/>
      <c r="F1" s="29"/>
    </row>
    <row r="2" spans="1:6" ht="22" customHeight="1" x14ac:dyDescent="0.35">
      <c r="A2" s="1" t="s">
        <v>13</v>
      </c>
      <c r="B2" s="1" t="s">
        <v>14</v>
      </c>
      <c r="C2" s="1" t="s">
        <v>15</v>
      </c>
      <c r="D2" s="1" t="s">
        <v>16</v>
      </c>
      <c r="E2" s="1" t="s">
        <v>17</v>
      </c>
      <c r="F2" s="1" t="s">
        <v>18</v>
      </c>
    </row>
    <row r="3" spans="1:6" ht="30" customHeight="1" x14ac:dyDescent="0.35">
      <c r="A3" s="2">
        <v>1</v>
      </c>
      <c r="B3" s="3" t="s">
        <v>19</v>
      </c>
      <c r="C3" s="4" t="s">
        <v>215</v>
      </c>
      <c r="D3" s="5" t="s">
        <v>20</v>
      </c>
      <c r="E3" s="6" t="s">
        <v>21</v>
      </c>
      <c r="F3" s="7"/>
    </row>
    <row r="4" spans="1:6" ht="30" customHeight="1" x14ac:dyDescent="0.35">
      <c r="A4" s="8">
        <v>2</v>
      </c>
      <c r="B4" s="9" t="s">
        <v>22</v>
      </c>
      <c r="C4" s="4" t="s">
        <v>215</v>
      </c>
      <c r="D4" s="5" t="s">
        <v>20</v>
      </c>
      <c r="E4" s="10" t="s">
        <v>21</v>
      </c>
      <c r="F4" s="11"/>
    </row>
    <row r="5" spans="1:6" ht="30" customHeight="1" x14ac:dyDescent="0.35">
      <c r="A5" s="2">
        <v>3</v>
      </c>
      <c r="B5" s="3" t="s">
        <v>23</v>
      </c>
      <c r="C5" s="4" t="s">
        <v>215</v>
      </c>
      <c r="D5" s="5" t="s">
        <v>20</v>
      </c>
      <c r="E5" s="6" t="s">
        <v>21</v>
      </c>
      <c r="F5" s="7"/>
    </row>
    <row r="6" spans="1:6" ht="30" customHeight="1" x14ac:dyDescent="0.35">
      <c r="A6" s="8">
        <v>4</v>
      </c>
      <c r="B6" s="9" t="s">
        <v>24</v>
      </c>
      <c r="C6" s="4" t="s">
        <v>218</v>
      </c>
      <c r="D6" s="5" t="s">
        <v>20</v>
      </c>
      <c r="E6" s="10" t="s">
        <v>21</v>
      </c>
      <c r="F6" s="11"/>
    </row>
    <row r="7" spans="1:6" ht="30" customHeight="1" x14ac:dyDescent="0.35">
      <c r="A7" s="2">
        <v>5</v>
      </c>
      <c r="B7" s="3" t="s">
        <v>25</v>
      </c>
      <c r="C7" s="4" t="s">
        <v>218</v>
      </c>
      <c r="D7" s="5" t="s">
        <v>20</v>
      </c>
      <c r="E7" s="6" t="s">
        <v>21</v>
      </c>
      <c r="F7" s="7"/>
    </row>
    <row r="8" spans="1:6" ht="30" customHeight="1" x14ac:dyDescent="0.35">
      <c r="A8" s="8">
        <v>6</v>
      </c>
      <c r="B8" s="9" t="s">
        <v>26</v>
      </c>
      <c r="C8" s="4" t="s">
        <v>218</v>
      </c>
      <c r="D8" s="5" t="s">
        <v>20</v>
      </c>
      <c r="E8" s="10" t="s">
        <v>21</v>
      </c>
      <c r="F8" s="11"/>
    </row>
    <row r="9" spans="1:6" ht="30" customHeight="1" x14ac:dyDescent="0.35">
      <c r="A9" s="2">
        <v>7</v>
      </c>
      <c r="B9" s="3" t="s">
        <v>27</v>
      </c>
      <c r="C9" s="4" t="s">
        <v>215</v>
      </c>
      <c r="D9" s="5" t="s">
        <v>20</v>
      </c>
      <c r="E9" s="6" t="s">
        <v>21</v>
      </c>
      <c r="F9" s="7"/>
    </row>
    <row r="10" spans="1:6" ht="30" customHeight="1" x14ac:dyDescent="0.35">
      <c r="A10" s="8">
        <v>8</v>
      </c>
      <c r="B10" s="9" t="s">
        <v>28</v>
      </c>
      <c r="C10" s="4" t="s">
        <v>221</v>
      </c>
      <c r="D10" s="5" t="s">
        <v>20</v>
      </c>
      <c r="E10" s="10" t="s">
        <v>21</v>
      </c>
      <c r="F10" s="11"/>
    </row>
    <row r="11" spans="1:6" ht="30" customHeight="1" x14ac:dyDescent="0.35">
      <c r="A11" s="2">
        <v>9</v>
      </c>
      <c r="B11" s="3" t="s">
        <v>29</v>
      </c>
      <c r="C11" s="4" t="s">
        <v>221</v>
      </c>
      <c r="D11" s="5" t="s">
        <v>20</v>
      </c>
      <c r="E11" s="6" t="s">
        <v>21</v>
      </c>
      <c r="F11" s="7"/>
    </row>
    <row r="12" spans="1:6" ht="30" customHeight="1" x14ac:dyDescent="0.35">
      <c r="A12" s="8">
        <v>10</v>
      </c>
      <c r="B12" s="9" t="s">
        <v>30</v>
      </c>
      <c r="C12" s="4" t="s">
        <v>221</v>
      </c>
      <c r="D12" s="5" t="s">
        <v>20</v>
      </c>
      <c r="E12" s="10" t="s">
        <v>21</v>
      </c>
      <c r="F12" s="11"/>
    </row>
    <row r="13" spans="1:6" ht="30" customHeight="1" x14ac:dyDescent="0.35">
      <c r="A13" s="2">
        <v>11</v>
      </c>
      <c r="B13" s="3" t="s">
        <v>31</v>
      </c>
      <c r="C13" s="4" t="s">
        <v>218</v>
      </c>
      <c r="D13" s="5" t="s">
        <v>20</v>
      </c>
      <c r="E13" s="6" t="s">
        <v>21</v>
      </c>
      <c r="F13" s="7"/>
    </row>
    <row r="14" spans="1:6" ht="30" customHeight="1" x14ac:dyDescent="0.35">
      <c r="A14" s="8">
        <v>12</v>
      </c>
      <c r="B14" s="9" t="s">
        <v>32</v>
      </c>
      <c r="C14" s="4" t="s">
        <v>221</v>
      </c>
      <c r="D14" s="5" t="s">
        <v>20</v>
      </c>
      <c r="E14" s="10" t="s">
        <v>21</v>
      </c>
      <c r="F14" s="11"/>
    </row>
    <row r="15" spans="1:6" ht="30" customHeight="1" x14ac:dyDescent="0.35">
      <c r="A15" s="2">
        <v>13</v>
      </c>
      <c r="B15" s="3" t="s">
        <v>33</v>
      </c>
      <c r="C15" s="4" t="s">
        <v>215</v>
      </c>
      <c r="D15" s="5" t="s">
        <v>20</v>
      </c>
      <c r="E15" s="6" t="s">
        <v>21</v>
      </c>
      <c r="F15" s="7"/>
    </row>
    <row r="16" spans="1:6" ht="30" customHeight="1" x14ac:dyDescent="0.35">
      <c r="A16" s="8">
        <v>14</v>
      </c>
      <c r="B16" s="9" t="s">
        <v>34</v>
      </c>
      <c r="C16" s="4" t="s">
        <v>218</v>
      </c>
      <c r="D16" s="5" t="s">
        <v>20</v>
      </c>
      <c r="E16" s="10" t="s">
        <v>21</v>
      </c>
      <c r="F16" s="11"/>
    </row>
    <row r="17" spans="1:6" ht="30" customHeight="1" x14ac:dyDescent="0.35">
      <c r="A17" s="2">
        <v>15</v>
      </c>
      <c r="B17" s="3" t="s">
        <v>35</v>
      </c>
      <c r="C17" s="4" t="s">
        <v>218</v>
      </c>
      <c r="D17" s="5" t="s">
        <v>20</v>
      </c>
      <c r="E17" s="6" t="s">
        <v>21</v>
      </c>
      <c r="F17" s="7"/>
    </row>
    <row r="18" spans="1:6" ht="30" customHeight="1" x14ac:dyDescent="0.35">
      <c r="A18" s="8">
        <v>16</v>
      </c>
      <c r="B18" s="9" t="s">
        <v>36</v>
      </c>
      <c r="C18" s="4" t="s">
        <v>218</v>
      </c>
      <c r="D18" s="5" t="s">
        <v>20</v>
      </c>
      <c r="E18" s="10" t="s">
        <v>21</v>
      </c>
      <c r="F18" s="11"/>
    </row>
    <row r="19" spans="1:6" ht="30" customHeight="1" x14ac:dyDescent="0.35">
      <c r="A19" s="2">
        <v>17</v>
      </c>
      <c r="B19" s="3" t="s">
        <v>37</v>
      </c>
      <c r="C19" s="4" t="s">
        <v>215</v>
      </c>
      <c r="D19" s="5" t="s">
        <v>20</v>
      </c>
      <c r="E19" s="6" t="s">
        <v>21</v>
      </c>
      <c r="F19" s="7"/>
    </row>
    <row r="20" spans="1:6" ht="30" customHeight="1" x14ac:dyDescent="0.35">
      <c r="A20" s="8">
        <v>18</v>
      </c>
      <c r="B20" s="9" t="s">
        <v>38</v>
      </c>
      <c r="C20" s="4" t="s">
        <v>218</v>
      </c>
      <c r="D20" s="5" t="s">
        <v>20</v>
      </c>
      <c r="E20" s="10" t="s">
        <v>21</v>
      </c>
      <c r="F20" s="11"/>
    </row>
    <row r="21" spans="1:6" ht="30" customHeight="1" x14ac:dyDescent="0.35">
      <c r="A21" s="2">
        <v>19</v>
      </c>
      <c r="B21" s="3" t="s">
        <v>39</v>
      </c>
      <c r="C21" s="4" t="s">
        <v>221</v>
      </c>
      <c r="D21" s="5" t="s">
        <v>20</v>
      </c>
      <c r="E21" s="6" t="s">
        <v>21</v>
      </c>
      <c r="F21" s="7"/>
    </row>
    <row r="22" spans="1:6" ht="30" customHeight="1" x14ac:dyDescent="0.35">
      <c r="A22" s="8">
        <v>20</v>
      </c>
      <c r="B22" s="9" t="s">
        <v>40</v>
      </c>
      <c r="C22" s="4" t="s">
        <v>218</v>
      </c>
      <c r="D22" s="5" t="s">
        <v>20</v>
      </c>
      <c r="E22" s="10" t="s">
        <v>21</v>
      </c>
      <c r="F22" s="11"/>
    </row>
    <row r="23" spans="1:6" ht="30" customHeight="1" x14ac:dyDescent="0.35">
      <c r="A23" s="2">
        <v>21</v>
      </c>
      <c r="B23" s="3" t="s">
        <v>41</v>
      </c>
      <c r="C23" s="4" t="s">
        <v>218</v>
      </c>
      <c r="D23" s="5" t="s">
        <v>20</v>
      </c>
      <c r="E23" s="6" t="s">
        <v>21</v>
      </c>
      <c r="F23" s="7"/>
    </row>
    <row r="24" spans="1:6" ht="30" customHeight="1" x14ac:dyDescent="0.35">
      <c r="A24" s="8">
        <v>22</v>
      </c>
      <c r="B24" s="9" t="s">
        <v>42</v>
      </c>
      <c r="C24" s="4" t="s">
        <v>218</v>
      </c>
      <c r="D24" s="5" t="s">
        <v>20</v>
      </c>
      <c r="E24" s="10" t="s">
        <v>21</v>
      </c>
      <c r="F24" s="11"/>
    </row>
    <row r="25" spans="1:6" ht="30" customHeight="1" x14ac:dyDescent="0.35">
      <c r="A25" s="2">
        <v>23</v>
      </c>
      <c r="B25" s="3" t="s">
        <v>43</v>
      </c>
      <c r="C25" s="4" t="s">
        <v>218</v>
      </c>
      <c r="D25" s="5" t="s">
        <v>20</v>
      </c>
      <c r="E25" s="6" t="s">
        <v>21</v>
      </c>
      <c r="F25" s="7"/>
    </row>
    <row r="26" spans="1:6" ht="30" customHeight="1" x14ac:dyDescent="0.35">
      <c r="A26" s="8">
        <v>24</v>
      </c>
      <c r="B26" s="9" t="s">
        <v>44</v>
      </c>
      <c r="C26" s="4" t="s">
        <v>218</v>
      </c>
      <c r="D26" s="5" t="s">
        <v>20</v>
      </c>
      <c r="E26" s="10" t="s">
        <v>21</v>
      </c>
      <c r="F26" s="11"/>
    </row>
    <row r="27" spans="1:6" ht="30" customHeight="1" x14ac:dyDescent="0.35">
      <c r="A27" s="2">
        <v>25</v>
      </c>
      <c r="B27" s="3" t="s">
        <v>45</v>
      </c>
      <c r="C27" s="4" t="s">
        <v>215</v>
      </c>
      <c r="D27" s="5" t="s">
        <v>20</v>
      </c>
      <c r="E27" s="6" t="s">
        <v>21</v>
      </c>
      <c r="F27" s="7"/>
    </row>
    <row r="28" spans="1:6" ht="30" customHeight="1" x14ac:dyDescent="0.35">
      <c r="A28" s="8">
        <v>26</v>
      </c>
      <c r="B28" s="9" t="s">
        <v>46</v>
      </c>
      <c r="C28" s="4" t="s">
        <v>221</v>
      </c>
      <c r="D28" s="5" t="s">
        <v>20</v>
      </c>
      <c r="E28" s="10" t="s">
        <v>21</v>
      </c>
      <c r="F28" s="11"/>
    </row>
    <row r="29" spans="1:6" ht="30" customHeight="1" x14ac:dyDescent="0.35">
      <c r="A29" s="2">
        <v>27</v>
      </c>
      <c r="B29" s="3" t="s">
        <v>47</v>
      </c>
      <c r="C29" s="4" t="s">
        <v>215</v>
      </c>
      <c r="D29" s="5" t="s">
        <v>20</v>
      </c>
      <c r="E29" s="6" t="s">
        <v>21</v>
      </c>
      <c r="F29" s="7"/>
    </row>
    <row r="30" spans="1:6" ht="30" customHeight="1" x14ac:dyDescent="0.35">
      <c r="A30" s="8">
        <v>28</v>
      </c>
      <c r="B30" s="9" t="s">
        <v>48</v>
      </c>
      <c r="C30" s="4" t="s">
        <v>221</v>
      </c>
      <c r="D30" s="5" t="s">
        <v>20</v>
      </c>
      <c r="E30" s="10" t="s">
        <v>21</v>
      </c>
      <c r="F30" s="11"/>
    </row>
    <row r="31" spans="1:6" ht="30" customHeight="1" x14ac:dyDescent="0.35">
      <c r="A31" s="2">
        <v>29</v>
      </c>
      <c r="B31" s="3" t="s">
        <v>49</v>
      </c>
      <c r="C31" s="4" t="s">
        <v>221</v>
      </c>
      <c r="D31" s="5" t="s">
        <v>20</v>
      </c>
      <c r="E31" s="6" t="s">
        <v>21</v>
      </c>
      <c r="F31" s="7"/>
    </row>
    <row r="32" spans="1:6" ht="30" customHeight="1" x14ac:dyDescent="0.35">
      <c r="A32" s="8">
        <v>30</v>
      </c>
      <c r="B32" s="9" t="s">
        <v>50</v>
      </c>
      <c r="C32" s="4" t="s">
        <v>215</v>
      </c>
      <c r="D32" s="5" t="s">
        <v>20</v>
      </c>
      <c r="E32" s="10" t="s">
        <v>21</v>
      </c>
      <c r="F32" s="11"/>
    </row>
    <row r="33" spans="1:6" ht="30" customHeight="1" x14ac:dyDescent="0.35">
      <c r="A33" s="2">
        <v>31</v>
      </c>
      <c r="B33" s="3" t="s">
        <v>51</v>
      </c>
      <c r="C33" s="4" t="s">
        <v>221</v>
      </c>
      <c r="D33" s="5" t="s">
        <v>20</v>
      </c>
      <c r="E33" s="6" t="s">
        <v>253</v>
      </c>
      <c r="F33" s="7"/>
    </row>
    <row r="34" spans="1:6" ht="30" customHeight="1" x14ac:dyDescent="0.35">
      <c r="A34" s="8">
        <v>32</v>
      </c>
      <c r="B34" s="9" t="s">
        <v>52</v>
      </c>
      <c r="C34" s="4" t="s">
        <v>221</v>
      </c>
      <c r="D34" s="5" t="s">
        <v>20</v>
      </c>
      <c r="E34" s="10" t="s">
        <v>21</v>
      </c>
      <c r="F34" s="11"/>
    </row>
    <row r="35" spans="1:6" ht="30" customHeight="1" x14ac:dyDescent="0.35">
      <c r="A35" s="2">
        <v>33</v>
      </c>
      <c r="B35" s="3" t="s">
        <v>53</v>
      </c>
      <c r="C35" s="4" t="s">
        <v>218</v>
      </c>
      <c r="D35" s="5" t="s">
        <v>20</v>
      </c>
      <c r="E35" s="6" t="s">
        <v>21</v>
      </c>
      <c r="F35" s="7"/>
    </row>
    <row r="36" spans="1:6" ht="30" customHeight="1" x14ac:dyDescent="0.35">
      <c r="A36" s="8">
        <v>34</v>
      </c>
      <c r="B36" s="9" t="s">
        <v>54</v>
      </c>
      <c r="C36" s="4" t="s">
        <v>215</v>
      </c>
      <c r="D36" s="5" t="s">
        <v>20</v>
      </c>
      <c r="E36" s="10" t="s">
        <v>21</v>
      </c>
      <c r="F36" s="11"/>
    </row>
    <row r="37" spans="1:6" ht="30" customHeight="1" x14ac:dyDescent="0.35">
      <c r="A37" s="2">
        <v>35</v>
      </c>
      <c r="B37" s="3" t="s">
        <v>55</v>
      </c>
      <c r="C37" s="4" t="s">
        <v>221</v>
      </c>
      <c r="D37" s="5" t="s">
        <v>20</v>
      </c>
      <c r="E37" s="6" t="s">
        <v>253</v>
      </c>
      <c r="F37" s="7"/>
    </row>
    <row r="38" spans="1:6" ht="30" customHeight="1" x14ac:dyDescent="0.35">
      <c r="A38" s="8">
        <v>36</v>
      </c>
      <c r="B38" s="9" t="s">
        <v>56</v>
      </c>
      <c r="C38" s="4" t="s">
        <v>215</v>
      </c>
      <c r="D38" s="5" t="s">
        <v>20</v>
      </c>
      <c r="E38" s="10" t="s">
        <v>21</v>
      </c>
      <c r="F38" s="11"/>
    </row>
    <row r="39" spans="1:6" ht="30" customHeight="1" x14ac:dyDescent="0.35">
      <c r="A39" s="2">
        <v>37</v>
      </c>
      <c r="B39" s="3" t="s">
        <v>57</v>
      </c>
      <c r="C39" s="4" t="s">
        <v>221</v>
      </c>
      <c r="D39" s="5" t="s">
        <v>20</v>
      </c>
      <c r="E39" s="6" t="s">
        <v>21</v>
      </c>
      <c r="F39" s="7"/>
    </row>
    <row r="40" spans="1:6" ht="30" customHeight="1" x14ac:dyDescent="0.35">
      <c r="A40" s="8">
        <v>38</v>
      </c>
      <c r="B40" s="9" t="s">
        <v>58</v>
      </c>
      <c r="C40" s="4" t="s">
        <v>218</v>
      </c>
      <c r="D40" s="5" t="s">
        <v>20</v>
      </c>
      <c r="E40" s="10" t="s">
        <v>21</v>
      </c>
      <c r="F40" s="11"/>
    </row>
    <row r="41" spans="1:6" ht="30" customHeight="1" x14ac:dyDescent="0.35">
      <c r="A41" s="2">
        <v>39</v>
      </c>
      <c r="B41" s="3" t="s">
        <v>59</v>
      </c>
      <c r="C41" s="4" t="s">
        <v>218</v>
      </c>
      <c r="D41" s="5" t="s">
        <v>20</v>
      </c>
      <c r="E41" s="6" t="s">
        <v>21</v>
      </c>
      <c r="F41" s="7"/>
    </row>
    <row r="42" spans="1:6" ht="30" customHeight="1" x14ac:dyDescent="0.35">
      <c r="A42" s="8">
        <v>40</v>
      </c>
      <c r="B42" s="9" t="s">
        <v>60</v>
      </c>
      <c r="C42" s="4" t="s">
        <v>215</v>
      </c>
      <c r="D42" s="5" t="s">
        <v>20</v>
      </c>
      <c r="E42" s="10" t="s">
        <v>21</v>
      </c>
      <c r="F42" s="11"/>
    </row>
    <row r="43" spans="1:6" ht="30" customHeight="1" x14ac:dyDescent="0.35">
      <c r="A43" s="2">
        <v>41</v>
      </c>
      <c r="B43" s="3" t="s">
        <v>61</v>
      </c>
      <c r="C43" s="4" t="s">
        <v>221</v>
      </c>
      <c r="D43" s="5" t="s">
        <v>20</v>
      </c>
      <c r="E43" s="6" t="s">
        <v>21</v>
      </c>
      <c r="F43" s="7"/>
    </row>
    <row r="44" spans="1:6" ht="30" customHeight="1" x14ac:dyDescent="0.35">
      <c r="A44" s="8">
        <v>42</v>
      </c>
      <c r="B44" s="9" t="s">
        <v>62</v>
      </c>
      <c r="C44" s="4" t="s">
        <v>221</v>
      </c>
      <c r="D44" s="5" t="s">
        <v>20</v>
      </c>
      <c r="E44" s="10" t="s">
        <v>21</v>
      </c>
      <c r="F44" s="11"/>
    </row>
    <row r="45" spans="1:6" ht="30" customHeight="1" x14ac:dyDescent="0.35">
      <c r="A45" s="2">
        <v>43</v>
      </c>
      <c r="B45" s="3" t="s">
        <v>63</v>
      </c>
      <c r="C45" s="4" t="s">
        <v>215</v>
      </c>
      <c r="D45" s="5" t="s">
        <v>20</v>
      </c>
      <c r="E45" s="6" t="s">
        <v>21</v>
      </c>
      <c r="F45" s="7"/>
    </row>
    <row r="46" spans="1:6" ht="30" customHeight="1" x14ac:dyDescent="0.35">
      <c r="A46" s="8">
        <v>44</v>
      </c>
      <c r="B46" s="9" t="s">
        <v>64</v>
      </c>
      <c r="C46" s="4" t="s">
        <v>221</v>
      </c>
      <c r="D46" s="5" t="s">
        <v>20</v>
      </c>
      <c r="E46" s="10" t="s">
        <v>21</v>
      </c>
      <c r="F46" s="11"/>
    </row>
    <row r="47" spans="1:6" ht="30" customHeight="1" x14ac:dyDescent="0.35">
      <c r="A47" s="2">
        <v>45</v>
      </c>
      <c r="B47" s="3" t="s">
        <v>65</v>
      </c>
      <c r="C47" s="4" t="s">
        <v>218</v>
      </c>
      <c r="D47" s="5" t="s">
        <v>20</v>
      </c>
      <c r="E47" s="6" t="s">
        <v>21</v>
      </c>
      <c r="F47" s="7"/>
    </row>
    <row r="48" spans="1:6" ht="30" customHeight="1" x14ac:dyDescent="0.35">
      <c r="A48" s="8">
        <v>46</v>
      </c>
      <c r="B48" s="9" t="s">
        <v>66</v>
      </c>
      <c r="C48" s="4" t="s">
        <v>221</v>
      </c>
      <c r="D48" s="5" t="s">
        <v>20</v>
      </c>
      <c r="E48" s="10" t="s">
        <v>21</v>
      </c>
      <c r="F48" s="11"/>
    </row>
    <row r="49" spans="1:6" ht="30" customHeight="1" x14ac:dyDescent="0.35">
      <c r="A49" s="2">
        <v>47</v>
      </c>
      <c r="B49" s="3" t="s">
        <v>67</v>
      </c>
      <c r="C49" s="4" t="s">
        <v>215</v>
      </c>
      <c r="D49" s="5" t="s">
        <v>20</v>
      </c>
      <c r="E49" s="6" t="s">
        <v>21</v>
      </c>
      <c r="F49" s="7"/>
    </row>
    <row r="50" spans="1:6" ht="30" customHeight="1" x14ac:dyDescent="0.35">
      <c r="A50" s="8">
        <v>48</v>
      </c>
      <c r="B50" s="9" t="s">
        <v>68</v>
      </c>
      <c r="C50" s="4" t="s">
        <v>215</v>
      </c>
      <c r="D50" s="5" t="s">
        <v>20</v>
      </c>
      <c r="E50" s="10" t="s">
        <v>21</v>
      </c>
      <c r="F50" s="11"/>
    </row>
    <row r="51" spans="1:6" ht="30" customHeight="1" x14ac:dyDescent="0.35">
      <c r="A51" s="2">
        <v>49</v>
      </c>
      <c r="B51" s="3" t="s">
        <v>69</v>
      </c>
      <c r="C51" s="4" t="s">
        <v>215</v>
      </c>
      <c r="D51" s="5" t="s">
        <v>20</v>
      </c>
      <c r="E51" s="6" t="s">
        <v>21</v>
      </c>
      <c r="F51" s="7"/>
    </row>
    <row r="52" spans="1:6" ht="30" customHeight="1" x14ac:dyDescent="0.35">
      <c r="A52" s="8">
        <v>50</v>
      </c>
      <c r="B52" s="9" t="s">
        <v>70</v>
      </c>
      <c r="C52" s="4" t="s">
        <v>218</v>
      </c>
      <c r="D52" s="5" t="s">
        <v>20</v>
      </c>
      <c r="E52" s="10" t="s">
        <v>21</v>
      </c>
      <c r="F52" s="11"/>
    </row>
    <row r="53" spans="1:6" ht="30" customHeight="1" x14ac:dyDescent="0.35">
      <c r="A53" s="2">
        <v>51</v>
      </c>
      <c r="B53" s="3" t="s">
        <v>71</v>
      </c>
      <c r="C53" s="4" t="s">
        <v>218</v>
      </c>
      <c r="D53" s="5" t="s">
        <v>20</v>
      </c>
      <c r="E53" s="6" t="s">
        <v>21</v>
      </c>
      <c r="F53" s="7"/>
    </row>
    <row r="54" spans="1:6" ht="30" customHeight="1" x14ac:dyDescent="0.35">
      <c r="A54" s="8">
        <v>52</v>
      </c>
      <c r="B54" s="9" t="s">
        <v>72</v>
      </c>
      <c r="C54" s="4" t="s">
        <v>215</v>
      </c>
      <c r="D54" s="5" t="s">
        <v>20</v>
      </c>
      <c r="E54" s="10" t="s">
        <v>21</v>
      </c>
      <c r="F54" s="11"/>
    </row>
    <row r="55" spans="1:6" ht="30" customHeight="1" x14ac:dyDescent="0.35">
      <c r="A55" s="2">
        <v>53</v>
      </c>
      <c r="B55" s="3" t="s">
        <v>73</v>
      </c>
      <c r="C55" s="4" t="s">
        <v>218</v>
      </c>
      <c r="D55" s="5" t="s">
        <v>20</v>
      </c>
      <c r="E55" s="6" t="s">
        <v>21</v>
      </c>
      <c r="F55" s="7"/>
    </row>
    <row r="56" spans="1:6" ht="30" customHeight="1" x14ac:dyDescent="0.35">
      <c r="A56" s="8">
        <v>54</v>
      </c>
      <c r="B56" s="9" t="s">
        <v>74</v>
      </c>
      <c r="C56" s="4" t="s">
        <v>218</v>
      </c>
      <c r="D56" s="5" t="s">
        <v>20</v>
      </c>
      <c r="E56" s="10" t="s">
        <v>21</v>
      </c>
      <c r="F56" s="11"/>
    </row>
    <row r="57" spans="1:6" ht="30" customHeight="1" x14ac:dyDescent="0.35">
      <c r="A57" s="2">
        <v>55</v>
      </c>
      <c r="B57" s="3" t="s">
        <v>75</v>
      </c>
      <c r="C57" s="4" t="s">
        <v>215</v>
      </c>
      <c r="D57" s="5" t="s">
        <v>20</v>
      </c>
      <c r="E57" s="6" t="s">
        <v>21</v>
      </c>
      <c r="F57" s="7"/>
    </row>
    <row r="58" spans="1:6" ht="30" customHeight="1" x14ac:dyDescent="0.35">
      <c r="A58" s="8">
        <v>56</v>
      </c>
      <c r="B58" s="9" t="s">
        <v>76</v>
      </c>
      <c r="C58" s="4" t="s">
        <v>215</v>
      </c>
      <c r="D58" s="5" t="s">
        <v>20</v>
      </c>
      <c r="E58" s="10" t="s">
        <v>21</v>
      </c>
      <c r="F58" s="11"/>
    </row>
    <row r="59" spans="1:6" ht="30" customHeight="1" x14ac:dyDescent="0.35">
      <c r="A59" s="2">
        <v>57</v>
      </c>
      <c r="B59" s="3" t="s">
        <v>77</v>
      </c>
      <c r="C59" s="4" t="s">
        <v>215</v>
      </c>
      <c r="D59" s="5" t="s">
        <v>20</v>
      </c>
      <c r="E59" s="6" t="s">
        <v>21</v>
      </c>
      <c r="F59" s="7"/>
    </row>
    <row r="60" spans="1:6" ht="30" customHeight="1" x14ac:dyDescent="0.35">
      <c r="A60" s="8">
        <v>58</v>
      </c>
      <c r="B60" s="9" t="s">
        <v>78</v>
      </c>
      <c r="C60" s="4" t="s">
        <v>215</v>
      </c>
      <c r="D60" s="5" t="s">
        <v>20</v>
      </c>
      <c r="E60" s="10" t="s">
        <v>21</v>
      </c>
      <c r="F60" s="11"/>
    </row>
    <row r="61" spans="1:6" ht="30" customHeight="1" x14ac:dyDescent="0.35">
      <c r="A61" s="2">
        <v>59</v>
      </c>
      <c r="B61" s="3" t="s">
        <v>79</v>
      </c>
      <c r="C61" s="4" t="s">
        <v>215</v>
      </c>
      <c r="D61" s="5" t="s">
        <v>20</v>
      </c>
      <c r="E61" s="6" t="s">
        <v>21</v>
      </c>
      <c r="F61" s="7"/>
    </row>
    <row r="62" spans="1:6" ht="30" customHeight="1" x14ac:dyDescent="0.35">
      <c r="A62" s="8">
        <v>60</v>
      </c>
      <c r="B62" s="9" t="s">
        <v>80</v>
      </c>
      <c r="C62" s="4" t="s">
        <v>215</v>
      </c>
      <c r="D62" s="5" t="s">
        <v>20</v>
      </c>
      <c r="E62" s="10" t="s">
        <v>21</v>
      </c>
      <c r="F62" s="11"/>
    </row>
    <row r="63" spans="1:6" ht="30" customHeight="1" x14ac:dyDescent="0.35">
      <c r="A63" s="2">
        <v>61</v>
      </c>
      <c r="B63" s="3" t="s">
        <v>81</v>
      </c>
      <c r="C63" s="4" t="s">
        <v>215</v>
      </c>
      <c r="D63" s="5" t="s">
        <v>20</v>
      </c>
      <c r="E63" s="6" t="s">
        <v>21</v>
      </c>
      <c r="F63" s="7"/>
    </row>
    <row r="64" spans="1:6" ht="30" customHeight="1" x14ac:dyDescent="0.35">
      <c r="A64" s="8">
        <v>62</v>
      </c>
      <c r="B64" s="9" t="s">
        <v>82</v>
      </c>
      <c r="C64" s="4" t="s">
        <v>221</v>
      </c>
      <c r="D64" s="5" t="s">
        <v>20</v>
      </c>
      <c r="E64" s="10" t="s">
        <v>21</v>
      </c>
      <c r="F64" s="11"/>
    </row>
    <row r="65" spans="1:6" ht="30" customHeight="1" x14ac:dyDescent="0.35">
      <c r="A65" s="2">
        <v>63</v>
      </c>
      <c r="B65" s="3" t="s">
        <v>83</v>
      </c>
      <c r="C65" s="4" t="s">
        <v>218</v>
      </c>
      <c r="D65" s="5" t="s">
        <v>20</v>
      </c>
      <c r="E65" s="6" t="s">
        <v>21</v>
      </c>
      <c r="F65" s="7"/>
    </row>
    <row r="66" spans="1:6" ht="30" customHeight="1" x14ac:dyDescent="0.35">
      <c r="A66" s="8">
        <v>64</v>
      </c>
      <c r="B66" s="9" t="s">
        <v>84</v>
      </c>
      <c r="C66" s="4" t="s">
        <v>221</v>
      </c>
      <c r="D66" s="5" t="s">
        <v>20</v>
      </c>
      <c r="E66" s="10" t="s">
        <v>21</v>
      </c>
      <c r="F66" s="11"/>
    </row>
    <row r="67" spans="1:6" ht="30" customHeight="1" x14ac:dyDescent="0.35">
      <c r="A67" s="2">
        <v>65</v>
      </c>
      <c r="B67" s="3" t="s">
        <v>85</v>
      </c>
      <c r="C67" s="4" t="s">
        <v>215</v>
      </c>
      <c r="D67" s="5" t="s">
        <v>20</v>
      </c>
      <c r="E67" s="6" t="s">
        <v>21</v>
      </c>
      <c r="F67" s="7"/>
    </row>
    <row r="68" spans="1:6" ht="30" customHeight="1" x14ac:dyDescent="0.35">
      <c r="A68" s="8">
        <v>66</v>
      </c>
      <c r="B68" s="9" t="s">
        <v>86</v>
      </c>
      <c r="C68" s="4" t="s">
        <v>215</v>
      </c>
      <c r="D68" s="5" t="s">
        <v>20</v>
      </c>
      <c r="E68" s="10" t="s">
        <v>21</v>
      </c>
      <c r="F68" s="11"/>
    </row>
    <row r="69" spans="1:6" ht="30" customHeight="1" x14ac:dyDescent="0.35">
      <c r="A69" s="2">
        <v>67</v>
      </c>
      <c r="B69" s="3" t="s">
        <v>87</v>
      </c>
      <c r="C69" s="4" t="s">
        <v>218</v>
      </c>
      <c r="D69" s="5" t="s">
        <v>20</v>
      </c>
      <c r="E69" s="6" t="s">
        <v>21</v>
      </c>
      <c r="F69" s="7"/>
    </row>
    <row r="70" spans="1:6" ht="30" customHeight="1" x14ac:dyDescent="0.35">
      <c r="A70" s="8">
        <v>68</v>
      </c>
      <c r="B70" s="9" t="s">
        <v>88</v>
      </c>
      <c r="C70" s="4" t="s">
        <v>215</v>
      </c>
      <c r="D70" s="5" t="s">
        <v>20</v>
      </c>
      <c r="E70" s="10" t="s">
        <v>21</v>
      </c>
      <c r="F70" s="11"/>
    </row>
    <row r="71" spans="1:6" ht="30" customHeight="1" x14ac:dyDescent="0.35">
      <c r="A71" s="2">
        <v>69</v>
      </c>
      <c r="B71" s="3" t="s">
        <v>89</v>
      </c>
      <c r="C71" s="4" t="s">
        <v>221</v>
      </c>
      <c r="D71" s="5" t="s">
        <v>20</v>
      </c>
      <c r="E71" s="6" t="s">
        <v>21</v>
      </c>
      <c r="F71" s="7"/>
    </row>
    <row r="72" spans="1:6" ht="30" customHeight="1" x14ac:dyDescent="0.35">
      <c r="A72" s="8">
        <v>70</v>
      </c>
      <c r="B72" s="9" t="s">
        <v>90</v>
      </c>
      <c r="C72" s="4" t="s">
        <v>218</v>
      </c>
      <c r="D72" s="5" t="s">
        <v>20</v>
      </c>
      <c r="E72" s="10" t="s">
        <v>21</v>
      </c>
      <c r="F72" s="11"/>
    </row>
    <row r="73" spans="1:6" ht="30" customHeight="1" x14ac:dyDescent="0.35">
      <c r="A73" s="2">
        <v>71</v>
      </c>
      <c r="B73" s="3" t="s">
        <v>91</v>
      </c>
      <c r="C73" s="4" t="s">
        <v>215</v>
      </c>
      <c r="D73" s="5" t="s">
        <v>20</v>
      </c>
      <c r="E73" s="6" t="s">
        <v>21</v>
      </c>
      <c r="F73" s="7"/>
    </row>
    <row r="74" spans="1:6" ht="30" customHeight="1" x14ac:dyDescent="0.35">
      <c r="A74" s="8">
        <v>72</v>
      </c>
      <c r="B74" s="9" t="s">
        <v>92</v>
      </c>
      <c r="C74" s="4" t="s">
        <v>215</v>
      </c>
      <c r="D74" s="5" t="s">
        <v>20</v>
      </c>
      <c r="E74" s="10" t="s">
        <v>21</v>
      </c>
      <c r="F74" s="11"/>
    </row>
    <row r="75" spans="1:6" ht="30" customHeight="1" x14ac:dyDescent="0.35">
      <c r="A75" s="2">
        <v>73</v>
      </c>
      <c r="B75" s="3" t="s">
        <v>93</v>
      </c>
      <c r="C75" s="4" t="s">
        <v>215</v>
      </c>
      <c r="D75" s="5" t="s">
        <v>20</v>
      </c>
      <c r="E75" s="6" t="s">
        <v>253</v>
      </c>
      <c r="F75" s="7"/>
    </row>
    <row r="76" spans="1:6" ht="30" customHeight="1" x14ac:dyDescent="0.35">
      <c r="A76" s="8">
        <v>74</v>
      </c>
      <c r="B76" s="9" t="s">
        <v>94</v>
      </c>
      <c r="C76" s="4" t="s">
        <v>215</v>
      </c>
      <c r="D76" s="5" t="s">
        <v>20</v>
      </c>
      <c r="E76" s="10" t="s">
        <v>21</v>
      </c>
      <c r="F76" s="11"/>
    </row>
    <row r="77" spans="1:6" ht="30" customHeight="1" x14ac:dyDescent="0.35">
      <c r="A77" s="2">
        <v>75</v>
      </c>
      <c r="B77" s="3" t="s">
        <v>95</v>
      </c>
      <c r="C77" s="4" t="s">
        <v>215</v>
      </c>
      <c r="D77" s="5" t="s">
        <v>20</v>
      </c>
      <c r="E77" s="6" t="s">
        <v>21</v>
      </c>
      <c r="F77" s="7"/>
    </row>
    <row r="78" spans="1:6" ht="30" customHeight="1" x14ac:dyDescent="0.35">
      <c r="A78" s="8">
        <v>76</v>
      </c>
      <c r="B78" s="9" t="s">
        <v>96</v>
      </c>
      <c r="C78" s="4" t="s">
        <v>218</v>
      </c>
      <c r="D78" s="5" t="s">
        <v>20</v>
      </c>
      <c r="E78" s="10" t="s">
        <v>21</v>
      </c>
      <c r="F78" s="11"/>
    </row>
    <row r="79" spans="1:6" ht="30" customHeight="1" x14ac:dyDescent="0.35">
      <c r="A79" s="2">
        <v>77</v>
      </c>
      <c r="B79" s="3" t="s">
        <v>97</v>
      </c>
      <c r="C79" s="4" t="s">
        <v>215</v>
      </c>
      <c r="D79" s="5" t="s">
        <v>20</v>
      </c>
      <c r="E79" s="6" t="s">
        <v>21</v>
      </c>
      <c r="F79" s="7"/>
    </row>
    <row r="80" spans="1:6" ht="30" customHeight="1" x14ac:dyDescent="0.35">
      <c r="A80" s="8">
        <v>78</v>
      </c>
      <c r="B80" s="9" t="s">
        <v>98</v>
      </c>
      <c r="C80" s="4" t="s">
        <v>218</v>
      </c>
      <c r="D80" s="5" t="s">
        <v>20</v>
      </c>
      <c r="E80" s="10" t="s">
        <v>21</v>
      </c>
      <c r="F80" s="11"/>
    </row>
    <row r="81" spans="1:6" ht="30" customHeight="1" x14ac:dyDescent="0.35">
      <c r="A81" s="2">
        <v>79</v>
      </c>
      <c r="B81" s="3" t="s">
        <v>99</v>
      </c>
      <c r="C81" s="4" t="s">
        <v>218</v>
      </c>
      <c r="D81" s="5" t="s">
        <v>20</v>
      </c>
      <c r="E81" s="6" t="s">
        <v>21</v>
      </c>
      <c r="F81" s="7"/>
    </row>
    <row r="82" spans="1:6" ht="30" customHeight="1" x14ac:dyDescent="0.35">
      <c r="A82" s="8">
        <v>80</v>
      </c>
      <c r="B82" s="9" t="s">
        <v>100</v>
      </c>
      <c r="C82" s="4" t="s">
        <v>221</v>
      </c>
      <c r="D82" s="5" t="s">
        <v>20</v>
      </c>
      <c r="E82" s="10" t="s">
        <v>21</v>
      </c>
      <c r="F82" s="11"/>
    </row>
    <row r="83" spans="1:6" ht="30" customHeight="1" x14ac:dyDescent="0.35">
      <c r="A83" s="2">
        <v>81</v>
      </c>
      <c r="B83" s="3" t="s">
        <v>101</v>
      </c>
      <c r="C83" s="4" t="s">
        <v>218</v>
      </c>
      <c r="D83" s="5" t="s">
        <v>20</v>
      </c>
      <c r="E83" s="6" t="s">
        <v>21</v>
      </c>
      <c r="F83" s="7"/>
    </row>
    <row r="85" spans="1:6" ht="28" customHeight="1" x14ac:dyDescent="0.35">
      <c r="A85" s="41" t="s">
        <v>102</v>
      </c>
      <c r="B85" s="29"/>
      <c r="C85" s="29"/>
      <c r="D85" s="29"/>
      <c r="E85" s="29"/>
      <c r="F85" s="29"/>
    </row>
    <row r="86" spans="1:6" ht="22" customHeight="1" x14ac:dyDescent="0.35">
      <c r="A86" s="12" t="s">
        <v>13</v>
      </c>
      <c r="B86" s="12" t="s">
        <v>14</v>
      </c>
      <c r="C86" s="12" t="s">
        <v>103</v>
      </c>
      <c r="D86" s="12" t="s">
        <v>104</v>
      </c>
      <c r="E86" s="12" t="s">
        <v>17</v>
      </c>
      <c r="F86" s="12" t="s">
        <v>18</v>
      </c>
    </row>
    <row r="87" spans="1:6" ht="30" customHeight="1" x14ac:dyDescent="0.35">
      <c r="A87" s="2">
        <v>1</v>
      </c>
      <c r="B87" s="3" t="s">
        <v>105</v>
      </c>
      <c r="C87" s="5" t="s">
        <v>20</v>
      </c>
      <c r="D87" s="13" t="s">
        <v>237</v>
      </c>
      <c r="E87" s="6" t="s">
        <v>21</v>
      </c>
      <c r="F87" s="7"/>
    </row>
    <row r="88" spans="1:6" ht="30" customHeight="1" x14ac:dyDescent="0.35">
      <c r="A88" s="8">
        <v>2</v>
      </c>
      <c r="B88" s="9" t="s">
        <v>106</v>
      </c>
      <c r="C88" s="5" t="s">
        <v>20</v>
      </c>
      <c r="D88" s="13" t="s">
        <v>225</v>
      </c>
      <c r="E88" s="10" t="s">
        <v>21</v>
      </c>
      <c r="F88" s="11"/>
    </row>
    <row r="89" spans="1:6" ht="30" customHeight="1" x14ac:dyDescent="0.35">
      <c r="A89" s="2">
        <v>3</v>
      </c>
      <c r="B89" s="3" t="s">
        <v>107</v>
      </c>
      <c r="C89" s="5" t="s">
        <v>20</v>
      </c>
      <c r="D89" s="13" t="s">
        <v>231</v>
      </c>
      <c r="E89" s="6" t="s">
        <v>21</v>
      </c>
      <c r="F89" s="7"/>
    </row>
    <row r="90" spans="1:6" ht="30" customHeight="1" x14ac:dyDescent="0.35">
      <c r="A90" s="8">
        <v>4</v>
      </c>
      <c r="B90" s="9" t="s">
        <v>108</v>
      </c>
      <c r="C90" s="5" t="s">
        <v>20</v>
      </c>
      <c r="D90" s="13" t="s">
        <v>237</v>
      </c>
      <c r="E90" s="10" t="s">
        <v>21</v>
      </c>
      <c r="F90" s="11"/>
    </row>
    <row r="91" spans="1:6" ht="30" customHeight="1" x14ac:dyDescent="0.35">
      <c r="A91" s="2">
        <v>5</v>
      </c>
      <c r="B91" s="3" t="s">
        <v>109</v>
      </c>
      <c r="C91" s="5" t="s">
        <v>20</v>
      </c>
      <c r="D91" s="13" t="s">
        <v>228</v>
      </c>
      <c r="E91" s="6" t="s">
        <v>21</v>
      </c>
      <c r="F91" s="7"/>
    </row>
    <row r="92" spans="1:6" ht="30" customHeight="1" x14ac:dyDescent="0.35">
      <c r="A92" s="8">
        <v>6</v>
      </c>
      <c r="B92" s="9" t="s">
        <v>110</v>
      </c>
      <c r="C92" s="5" t="s">
        <v>20</v>
      </c>
      <c r="D92" s="13" t="s">
        <v>234</v>
      </c>
      <c r="E92" s="10" t="s">
        <v>21</v>
      </c>
      <c r="F92" s="11"/>
    </row>
    <row r="93" spans="1:6" ht="30" customHeight="1" x14ac:dyDescent="0.35">
      <c r="A93" s="2">
        <v>7</v>
      </c>
      <c r="B93" s="3" t="s">
        <v>111</v>
      </c>
      <c r="C93" s="5" t="s">
        <v>20</v>
      </c>
      <c r="D93" s="13" t="s">
        <v>237</v>
      </c>
      <c r="E93" s="6" t="s">
        <v>21</v>
      </c>
      <c r="F93" s="7"/>
    </row>
    <row r="94" spans="1:6" ht="30" customHeight="1" x14ac:dyDescent="0.35">
      <c r="A94" s="8">
        <v>8</v>
      </c>
      <c r="B94" s="9" t="s">
        <v>112</v>
      </c>
      <c r="C94" s="5" t="s">
        <v>20</v>
      </c>
      <c r="D94" s="13" t="s">
        <v>225</v>
      </c>
      <c r="E94" s="10" t="s">
        <v>21</v>
      </c>
      <c r="F94" s="11"/>
    </row>
    <row r="95" spans="1:6" ht="30" customHeight="1" x14ac:dyDescent="0.35">
      <c r="A95" s="2">
        <v>9</v>
      </c>
      <c r="B95" s="3" t="s">
        <v>113</v>
      </c>
      <c r="C95" s="5" t="s">
        <v>20</v>
      </c>
      <c r="D95" s="13" t="s">
        <v>234</v>
      </c>
      <c r="E95" s="6" t="s">
        <v>21</v>
      </c>
      <c r="F95" s="7"/>
    </row>
    <row r="96" spans="1:6" ht="30" customHeight="1" x14ac:dyDescent="0.35">
      <c r="A96" s="8">
        <v>10</v>
      </c>
      <c r="B96" s="9" t="s">
        <v>114</v>
      </c>
      <c r="C96" s="5" t="s">
        <v>20</v>
      </c>
      <c r="D96" s="13" t="s">
        <v>228</v>
      </c>
      <c r="E96" s="10" t="s">
        <v>21</v>
      </c>
      <c r="F96" s="11"/>
    </row>
    <row r="97" spans="1:6" ht="30" customHeight="1" x14ac:dyDescent="0.35">
      <c r="A97" s="2">
        <v>11</v>
      </c>
      <c r="B97" s="3" t="s">
        <v>115</v>
      </c>
      <c r="C97" s="5" t="s">
        <v>20</v>
      </c>
      <c r="D97" s="13" t="s">
        <v>237</v>
      </c>
      <c r="E97" s="6" t="s">
        <v>21</v>
      </c>
      <c r="F97" s="7"/>
    </row>
    <row r="98" spans="1:6" ht="30" customHeight="1" x14ac:dyDescent="0.35">
      <c r="A98" s="8">
        <v>12</v>
      </c>
      <c r="B98" s="9" t="s">
        <v>116</v>
      </c>
      <c r="C98" s="5" t="s">
        <v>20</v>
      </c>
      <c r="D98" s="13" t="s">
        <v>237</v>
      </c>
      <c r="E98" s="10" t="s">
        <v>21</v>
      </c>
      <c r="F98" s="11"/>
    </row>
    <row r="99" spans="1:6" ht="30" customHeight="1" x14ac:dyDescent="0.35">
      <c r="A99" s="2">
        <v>13</v>
      </c>
      <c r="B99" s="3" t="s">
        <v>117</v>
      </c>
      <c r="C99" s="5" t="s">
        <v>20</v>
      </c>
      <c r="D99" s="13" t="s">
        <v>231</v>
      </c>
      <c r="E99" s="6" t="s">
        <v>21</v>
      </c>
      <c r="F99" s="7"/>
    </row>
    <row r="100" spans="1:6" ht="30" customHeight="1" x14ac:dyDescent="0.35">
      <c r="A100" s="8">
        <v>14</v>
      </c>
      <c r="B100" s="9" t="s">
        <v>105</v>
      </c>
      <c r="C100" s="5" t="s">
        <v>20</v>
      </c>
      <c r="D100" s="13" t="s">
        <v>237</v>
      </c>
      <c r="E100" s="10" t="s">
        <v>21</v>
      </c>
      <c r="F100" s="11"/>
    </row>
    <row r="101" spans="1:6" ht="30" customHeight="1" x14ac:dyDescent="0.35">
      <c r="A101" s="2">
        <v>15</v>
      </c>
      <c r="B101" s="3" t="s">
        <v>118</v>
      </c>
      <c r="C101" s="5" t="s">
        <v>20</v>
      </c>
      <c r="D101" s="13" t="s">
        <v>225</v>
      </c>
      <c r="E101" s="6" t="s">
        <v>21</v>
      </c>
      <c r="F101" s="7"/>
    </row>
    <row r="102" spans="1:6" ht="30" customHeight="1" x14ac:dyDescent="0.35">
      <c r="A102" s="8">
        <v>16</v>
      </c>
      <c r="B102" s="9" t="s">
        <v>119</v>
      </c>
      <c r="C102" s="5" t="s">
        <v>20</v>
      </c>
      <c r="D102" s="13" t="s">
        <v>225</v>
      </c>
      <c r="E102" s="10" t="s">
        <v>21</v>
      </c>
      <c r="F102" s="11"/>
    </row>
    <row r="103" spans="1:6" ht="30" customHeight="1" x14ac:dyDescent="0.35">
      <c r="A103" s="2">
        <v>17</v>
      </c>
      <c r="B103" s="3" t="s">
        <v>120</v>
      </c>
      <c r="C103" s="5" t="s">
        <v>20</v>
      </c>
      <c r="D103" s="13" t="s">
        <v>225</v>
      </c>
      <c r="E103" s="6" t="s">
        <v>21</v>
      </c>
      <c r="F103" s="7"/>
    </row>
    <row r="104" spans="1:6" ht="30" customHeight="1" x14ac:dyDescent="0.35">
      <c r="A104" s="8">
        <v>18</v>
      </c>
      <c r="B104" s="9" t="s">
        <v>121</v>
      </c>
      <c r="C104" s="5" t="s">
        <v>20</v>
      </c>
      <c r="D104" s="13" t="s">
        <v>237</v>
      </c>
      <c r="E104" s="10" t="s">
        <v>21</v>
      </c>
      <c r="F104" s="11"/>
    </row>
    <row r="105" spans="1:6" ht="30" customHeight="1" x14ac:dyDescent="0.35">
      <c r="A105" s="2">
        <v>19</v>
      </c>
      <c r="B105" s="3" t="s">
        <v>122</v>
      </c>
      <c r="C105" s="5" t="s">
        <v>20</v>
      </c>
      <c r="D105" s="13" t="s">
        <v>228</v>
      </c>
      <c r="E105" s="6" t="s">
        <v>21</v>
      </c>
      <c r="F105" s="7"/>
    </row>
    <row r="106" spans="1:6" ht="30" customHeight="1" x14ac:dyDescent="0.35">
      <c r="A106" s="8">
        <v>20</v>
      </c>
      <c r="B106" s="9" t="s">
        <v>123</v>
      </c>
      <c r="C106" s="5" t="s">
        <v>20</v>
      </c>
      <c r="D106" s="13" t="s">
        <v>231</v>
      </c>
      <c r="E106" s="10" t="s">
        <v>21</v>
      </c>
      <c r="F106" s="11"/>
    </row>
    <row r="107" spans="1:6" ht="30" customHeight="1" x14ac:dyDescent="0.35">
      <c r="A107" s="2">
        <v>21</v>
      </c>
      <c r="B107" s="3" t="s">
        <v>124</v>
      </c>
      <c r="C107" s="5" t="s">
        <v>20</v>
      </c>
      <c r="D107" s="13" t="s">
        <v>228</v>
      </c>
      <c r="E107" s="6" t="s">
        <v>21</v>
      </c>
      <c r="F107" s="7"/>
    </row>
    <row r="108" spans="1:6" ht="30" customHeight="1" x14ac:dyDescent="0.35">
      <c r="A108" s="8">
        <v>22</v>
      </c>
      <c r="B108" s="9" t="s">
        <v>125</v>
      </c>
      <c r="C108" s="5" t="s">
        <v>20</v>
      </c>
      <c r="D108" s="13" t="s">
        <v>228</v>
      </c>
      <c r="E108" s="10" t="s">
        <v>21</v>
      </c>
      <c r="F108" s="11"/>
    </row>
    <row r="109" spans="1:6" ht="30" customHeight="1" x14ac:dyDescent="0.35">
      <c r="A109" s="2">
        <v>23</v>
      </c>
      <c r="B109" s="3" t="s">
        <v>126</v>
      </c>
      <c r="C109" s="5" t="s">
        <v>20</v>
      </c>
      <c r="D109" s="13" t="s">
        <v>234</v>
      </c>
      <c r="E109" s="6" t="s">
        <v>21</v>
      </c>
      <c r="F109" s="7"/>
    </row>
    <row r="110" spans="1:6" ht="30" customHeight="1" x14ac:dyDescent="0.35">
      <c r="A110" s="8">
        <v>24</v>
      </c>
      <c r="B110" s="9" t="s">
        <v>127</v>
      </c>
      <c r="C110" s="5" t="s">
        <v>20</v>
      </c>
      <c r="D110" s="13" t="s">
        <v>225</v>
      </c>
      <c r="E110" s="10" t="s">
        <v>21</v>
      </c>
      <c r="F110" s="11"/>
    </row>
    <row r="111" spans="1:6" ht="30" customHeight="1" x14ac:dyDescent="0.35">
      <c r="A111" s="2">
        <v>25</v>
      </c>
      <c r="B111" s="3" t="s">
        <v>128</v>
      </c>
      <c r="C111" s="5" t="s">
        <v>20</v>
      </c>
      <c r="D111" s="13" t="s">
        <v>228</v>
      </c>
      <c r="E111" s="6" t="s">
        <v>21</v>
      </c>
      <c r="F111" s="7"/>
    </row>
    <row r="112" spans="1:6" ht="30" customHeight="1" x14ac:dyDescent="0.35">
      <c r="A112" s="8">
        <v>26</v>
      </c>
      <c r="B112" s="9" t="s">
        <v>129</v>
      </c>
      <c r="C112" s="5" t="s">
        <v>20</v>
      </c>
      <c r="D112" s="13" t="s">
        <v>231</v>
      </c>
      <c r="E112" s="10" t="s">
        <v>21</v>
      </c>
      <c r="F112" s="11"/>
    </row>
    <row r="113" spans="1:6" ht="30" customHeight="1" x14ac:dyDescent="0.35">
      <c r="A113" s="2">
        <v>27</v>
      </c>
      <c r="B113" s="3" t="s">
        <v>130</v>
      </c>
      <c r="C113" s="5" t="s">
        <v>20</v>
      </c>
      <c r="D113" s="13" t="s">
        <v>237</v>
      </c>
      <c r="E113" s="6" t="s">
        <v>21</v>
      </c>
      <c r="F113" s="7"/>
    </row>
    <row r="114" spans="1:6" ht="30" customHeight="1" x14ac:dyDescent="0.35">
      <c r="A114" s="8">
        <v>28</v>
      </c>
      <c r="B114" s="9" t="s">
        <v>131</v>
      </c>
      <c r="C114" s="5" t="s">
        <v>20</v>
      </c>
      <c r="D114" s="13" t="s">
        <v>225</v>
      </c>
      <c r="E114" s="10" t="s">
        <v>21</v>
      </c>
      <c r="F114" s="11"/>
    </row>
    <row r="115" spans="1:6" ht="30" customHeight="1" x14ac:dyDescent="0.35">
      <c r="A115" s="2">
        <v>29</v>
      </c>
      <c r="B115" s="3" t="s">
        <v>132</v>
      </c>
      <c r="C115" s="5" t="s">
        <v>20</v>
      </c>
      <c r="D115" s="13" t="s">
        <v>225</v>
      </c>
      <c r="E115" s="6" t="s">
        <v>21</v>
      </c>
      <c r="F115" s="7"/>
    </row>
    <row r="116" spans="1:6" ht="30" customHeight="1" x14ac:dyDescent="0.35">
      <c r="A116" s="8">
        <v>30</v>
      </c>
      <c r="B116" s="9" t="s">
        <v>133</v>
      </c>
      <c r="C116" s="5" t="s">
        <v>20</v>
      </c>
      <c r="D116" s="13" t="s">
        <v>231</v>
      </c>
      <c r="E116" s="10" t="s">
        <v>21</v>
      </c>
      <c r="F116" s="11"/>
    </row>
    <row r="117" spans="1:6" ht="30" customHeight="1" x14ac:dyDescent="0.35">
      <c r="A117" s="2">
        <v>31</v>
      </c>
      <c r="B117" s="3" t="s">
        <v>134</v>
      </c>
      <c r="C117" s="5" t="s">
        <v>20</v>
      </c>
      <c r="D117" s="13" t="s">
        <v>231</v>
      </c>
      <c r="E117" s="6" t="s">
        <v>21</v>
      </c>
      <c r="F117" s="7"/>
    </row>
    <row r="118" spans="1:6" ht="30" customHeight="1" x14ac:dyDescent="0.35">
      <c r="A118" s="8">
        <v>32</v>
      </c>
      <c r="B118" s="9" t="s">
        <v>135</v>
      </c>
      <c r="C118" s="5" t="s">
        <v>20</v>
      </c>
      <c r="D118" s="13" t="s">
        <v>237</v>
      </c>
      <c r="E118" s="10" t="s">
        <v>21</v>
      </c>
      <c r="F118" s="11"/>
    </row>
    <row r="119" spans="1:6" ht="30" customHeight="1" x14ac:dyDescent="0.35">
      <c r="A119" s="2">
        <v>33</v>
      </c>
      <c r="B119" s="3" t="s">
        <v>136</v>
      </c>
      <c r="C119" s="5" t="s">
        <v>20</v>
      </c>
      <c r="D119" s="13" t="s">
        <v>237</v>
      </c>
      <c r="E119" s="6" t="s">
        <v>21</v>
      </c>
      <c r="F119" s="7"/>
    </row>
    <row r="120" spans="1:6" ht="30" customHeight="1" x14ac:dyDescent="0.35">
      <c r="A120" s="8">
        <v>34</v>
      </c>
      <c r="B120" s="9" t="s">
        <v>137</v>
      </c>
      <c r="C120" s="5" t="s">
        <v>20</v>
      </c>
      <c r="D120" s="13" t="s">
        <v>225</v>
      </c>
      <c r="E120" s="10" t="s">
        <v>21</v>
      </c>
      <c r="F120" s="11"/>
    </row>
    <row r="121" spans="1:6" ht="30" customHeight="1" x14ac:dyDescent="0.35">
      <c r="A121" s="2">
        <v>35</v>
      </c>
      <c r="B121" s="3" t="s">
        <v>138</v>
      </c>
      <c r="C121" s="5" t="s">
        <v>20</v>
      </c>
      <c r="D121" s="13" t="s">
        <v>228</v>
      </c>
      <c r="E121" s="6" t="s">
        <v>21</v>
      </c>
      <c r="F121" s="7"/>
    </row>
    <row r="122" spans="1:6" ht="30" customHeight="1" x14ac:dyDescent="0.35">
      <c r="A122" s="8">
        <v>36</v>
      </c>
      <c r="B122" s="9" t="s">
        <v>139</v>
      </c>
      <c r="C122" s="5" t="s">
        <v>20</v>
      </c>
      <c r="D122" s="13" t="s">
        <v>234</v>
      </c>
      <c r="E122" s="10" t="s">
        <v>21</v>
      </c>
      <c r="F122" s="11"/>
    </row>
    <row r="123" spans="1:6" ht="30" customHeight="1" x14ac:dyDescent="0.35">
      <c r="A123" s="2">
        <v>37</v>
      </c>
      <c r="B123" s="3" t="s">
        <v>140</v>
      </c>
      <c r="C123" s="5" t="s">
        <v>20</v>
      </c>
      <c r="D123" s="13" t="s">
        <v>231</v>
      </c>
      <c r="E123" s="6" t="s">
        <v>21</v>
      </c>
      <c r="F123" s="7"/>
    </row>
    <row r="124" spans="1:6" ht="30" customHeight="1" x14ac:dyDescent="0.35">
      <c r="A124" s="8">
        <v>38</v>
      </c>
      <c r="B124" s="9" t="s">
        <v>141</v>
      </c>
      <c r="C124" s="5" t="s">
        <v>20</v>
      </c>
      <c r="D124" s="13" t="s">
        <v>228</v>
      </c>
      <c r="E124" s="10" t="s">
        <v>21</v>
      </c>
      <c r="F124" s="11"/>
    </row>
    <row r="125" spans="1:6" ht="30" customHeight="1" x14ac:dyDescent="0.35">
      <c r="A125" s="2">
        <v>39</v>
      </c>
      <c r="B125" s="3" t="s">
        <v>142</v>
      </c>
      <c r="C125" s="5" t="s">
        <v>20</v>
      </c>
      <c r="D125" s="13" t="s">
        <v>237</v>
      </c>
      <c r="E125" s="6" t="s">
        <v>21</v>
      </c>
      <c r="F125" s="7"/>
    </row>
    <row r="126" spans="1:6" ht="30" customHeight="1" x14ac:dyDescent="0.35">
      <c r="A126" s="8">
        <v>40</v>
      </c>
      <c r="B126" s="9" t="s">
        <v>143</v>
      </c>
      <c r="C126" s="5" t="s">
        <v>20</v>
      </c>
      <c r="D126" s="13" t="s">
        <v>228</v>
      </c>
      <c r="E126" s="10" t="s">
        <v>21</v>
      </c>
      <c r="F126" s="11"/>
    </row>
    <row r="127" spans="1:6" ht="30" customHeight="1" x14ac:dyDescent="0.35">
      <c r="A127" s="2">
        <v>41</v>
      </c>
      <c r="B127" s="3" t="s">
        <v>144</v>
      </c>
      <c r="C127" s="5" t="s">
        <v>20</v>
      </c>
      <c r="D127" s="13" t="s">
        <v>234</v>
      </c>
      <c r="E127" s="6" t="s">
        <v>21</v>
      </c>
      <c r="F127" s="7"/>
    </row>
    <row r="128" spans="1:6" ht="30" customHeight="1" x14ac:dyDescent="0.35">
      <c r="A128" s="8">
        <v>42</v>
      </c>
      <c r="B128" s="9" t="s">
        <v>145</v>
      </c>
      <c r="C128" s="5" t="s">
        <v>20</v>
      </c>
      <c r="D128" s="13" t="s">
        <v>228</v>
      </c>
      <c r="E128" s="10" t="s">
        <v>21</v>
      </c>
      <c r="F128" s="11"/>
    </row>
    <row r="129" spans="1:6" ht="30" customHeight="1" x14ac:dyDescent="0.35">
      <c r="A129" s="2">
        <v>43</v>
      </c>
      <c r="B129" s="3" t="s">
        <v>146</v>
      </c>
      <c r="C129" s="5" t="s">
        <v>20</v>
      </c>
      <c r="D129" s="13" t="s">
        <v>225</v>
      </c>
      <c r="E129" s="6" t="s">
        <v>21</v>
      </c>
      <c r="F129" s="7"/>
    </row>
    <row r="130" spans="1:6" ht="30" customHeight="1" x14ac:dyDescent="0.35">
      <c r="A130" s="8">
        <v>44</v>
      </c>
      <c r="B130" s="9" t="s">
        <v>147</v>
      </c>
      <c r="C130" s="5" t="s">
        <v>20</v>
      </c>
      <c r="D130" s="13" t="s">
        <v>237</v>
      </c>
      <c r="E130" s="10" t="s">
        <v>21</v>
      </c>
      <c r="F130" s="11"/>
    </row>
    <row r="131" spans="1:6" ht="30" customHeight="1" x14ac:dyDescent="0.35">
      <c r="A131" s="2">
        <v>45</v>
      </c>
      <c r="B131" s="3" t="s">
        <v>148</v>
      </c>
      <c r="C131" s="5" t="s">
        <v>20</v>
      </c>
      <c r="D131" s="13" t="s">
        <v>231</v>
      </c>
      <c r="E131" s="6" t="s">
        <v>21</v>
      </c>
      <c r="F131" s="7"/>
    </row>
    <row r="132" spans="1:6" ht="30" customHeight="1" x14ac:dyDescent="0.35">
      <c r="A132" s="8">
        <v>46</v>
      </c>
      <c r="B132" s="9" t="s">
        <v>149</v>
      </c>
      <c r="C132" s="5" t="s">
        <v>20</v>
      </c>
      <c r="D132" s="13" t="s">
        <v>225</v>
      </c>
      <c r="E132" s="10" t="s">
        <v>21</v>
      </c>
      <c r="F132" s="11"/>
    </row>
    <row r="133" spans="1:6" ht="30" customHeight="1" x14ac:dyDescent="0.35">
      <c r="A133" s="2">
        <v>47</v>
      </c>
      <c r="B133" s="3" t="s">
        <v>150</v>
      </c>
      <c r="C133" s="5" t="s">
        <v>20</v>
      </c>
      <c r="D133" s="13" t="s">
        <v>225</v>
      </c>
      <c r="E133" s="6" t="s">
        <v>21</v>
      </c>
      <c r="F133" s="7"/>
    </row>
    <row r="134" spans="1:6" ht="30" customHeight="1" x14ac:dyDescent="0.35">
      <c r="A134" s="8">
        <v>48</v>
      </c>
      <c r="B134" s="9" t="s">
        <v>151</v>
      </c>
      <c r="C134" s="5" t="s">
        <v>20</v>
      </c>
      <c r="D134" s="13" t="s">
        <v>228</v>
      </c>
      <c r="E134" s="10" t="s">
        <v>21</v>
      </c>
      <c r="F134" s="11"/>
    </row>
    <row r="135" spans="1:6" ht="30" customHeight="1" x14ac:dyDescent="0.35">
      <c r="A135" s="2">
        <v>49</v>
      </c>
      <c r="B135" s="3" t="s">
        <v>152</v>
      </c>
      <c r="C135" s="5" t="s">
        <v>20</v>
      </c>
      <c r="D135" s="13" t="s">
        <v>237</v>
      </c>
      <c r="E135" s="6" t="s">
        <v>21</v>
      </c>
      <c r="F135" s="7"/>
    </row>
    <row r="136" spans="1:6" ht="30" customHeight="1" x14ac:dyDescent="0.35">
      <c r="A136" s="8">
        <v>50</v>
      </c>
      <c r="B136" s="9" t="s">
        <v>153</v>
      </c>
      <c r="C136" s="5" t="s">
        <v>20</v>
      </c>
      <c r="D136" s="13" t="s">
        <v>237</v>
      </c>
      <c r="E136" s="10" t="s">
        <v>21</v>
      </c>
      <c r="F136" s="11"/>
    </row>
    <row r="137" spans="1:6" ht="30" customHeight="1" x14ac:dyDescent="0.35">
      <c r="A137" s="2">
        <v>51</v>
      </c>
      <c r="B137" s="3" t="s">
        <v>85</v>
      </c>
      <c r="C137" s="5" t="s">
        <v>20</v>
      </c>
      <c r="D137" s="13" t="s">
        <v>234</v>
      </c>
      <c r="E137" s="6" t="s">
        <v>21</v>
      </c>
      <c r="F137" s="7"/>
    </row>
    <row r="138" spans="1:6" ht="30" customHeight="1" x14ac:dyDescent="0.35">
      <c r="A138" s="8">
        <v>52</v>
      </c>
      <c r="B138" s="9" t="s">
        <v>154</v>
      </c>
      <c r="C138" s="5" t="s">
        <v>20</v>
      </c>
      <c r="D138" s="13" t="s">
        <v>234</v>
      </c>
      <c r="E138" s="10" t="s">
        <v>21</v>
      </c>
      <c r="F138" s="11"/>
    </row>
    <row r="139" spans="1:6" ht="30" customHeight="1" x14ac:dyDescent="0.35">
      <c r="A139" s="2">
        <v>53</v>
      </c>
      <c r="B139" s="3" t="s">
        <v>155</v>
      </c>
      <c r="C139" s="5" t="s">
        <v>20</v>
      </c>
      <c r="D139" s="13" t="s">
        <v>234</v>
      </c>
      <c r="E139" s="6" t="s">
        <v>21</v>
      </c>
      <c r="F139" s="7"/>
    </row>
    <row r="140" spans="1:6" ht="30" customHeight="1" x14ac:dyDescent="0.35">
      <c r="A140" s="8">
        <v>54</v>
      </c>
      <c r="B140" s="9" t="s">
        <v>156</v>
      </c>
      <c r="C140" s="5" t="s">
        <v>20</v>
      </c>
      <c r="D140" s="13" t="s">
        <v>225</v>
      </c>
      <c r="E140" s="10" t="s">
        <v>21</v>
      </c>
      <c r="F140" s="11"/>
    </row>
    <row r="141" spans="1:6" ht="30" customHeight="1" x14ac:dyDescent="0.35">
      <c r="A141" s="2">
        <v>55</v>
      </c>
      <c r="B141" s="3" t="s">
        <v>157</v>
      </c>
      <c r="C141" s="5" t="s">
        <v>20</v>
      </c>
      <c r="D141" s="13" t="s">
        <v>228</v>
      </c>
      <c r="E141" s="6" t="s">
        <v>21</v>
      </c>
      <c r="F141" s="7"/>
    </row>
    <row r="142" spans="1:6" ht="30" customHeight="1" x14ac:dyDescent="0.35">
      <c r="A142" s="8">
        <v>56</v>
      </c>
      <c r="B142" s="9" t="s">
        <v>158</v>
      </c>
      <c r="C142" s="5" t="s">
        <v>20</v>
      </c>
      <c r="D142" s="13" t="s">
        <v>231</v>
      </c>
      <c r="E142" s="10" t="s">
        <v>21</v>
      </c>
      <c r="F142" s="11"/>
    </row>
    <row r="143" spans="1:6" ht="30" customHeight="1" x14ac:dyDescent="0.35">
      <c r="A143" s="2">
        <v>57</v>
      </c>
      <c r="B143" s="3" t="s">
        <v>159</v>
      </c>
      <c r="C143" s="5" t="s">
        <v>20</v>
      </c>
      <c r="D143" s="13" t="s">
        <v>225</v>
      </c>
      <c r="E143" s="6" t="s">
        <v>21</v>
      </c>
      <c r="F143" s="7"/>
    </row>
    <row r="144" spans="1:6" ht="30" customHeight="1" x14ac:dyDescent="0.35">
      <c r="A144" s="8">
        <v>58</v>
      </c>
      <c r="B144" s="9" t="s">
        <v>160</v>
      </c>
      <c r="C144" s="5" t="s">
        <v>20</v>
      </c>
      <c r="D144" s="13" t="s">
        <v>225</v>
      </c>
      <c r="E144" s="10" t="s">
        <v>21</v>
      </c>
      <c r="F144" s="11"/>
    </row>
    <row r="145" spans="1:6" ht="30" customHeight="1" x14ac:dyDescent="0.35">
      <c r="A145" s="2">
        <v>59</v>
      </c>
      <c r="B145" s="3" t="s">
        <v>161</v>
      </c>
      <c r="C145" s="5" t="s">
        <v>20</v>
      </c>
      <c r="D145" s="13" t="s">
        <v>237</v>
      </c>
      <c r="E145" s="6" t="s">
        <v>21</v>
      </c>
      <c r="F145" s="7"/>
    </row>
    <row r="146" spans="1:6" ht="30" customHeight="1" x14ac:dyDescent="0.35">
      <c r="A146" s="8">
        <v>60</v>
      </c>
      <c r="B146" s="9" t="s">
        <v>162</v>
      </c>
      <c r="C146" s="5" t="s">
        <v>20</v>
      </c>
      <c r="D146" s="13" t="s">
        <v>234</v>
      </c>
      <c r="E146" s="10" t="s">
        <v>21</v>
      </c>
      <c r="F146" s="11"/>
    </row>
    <row r="147" spans="1:6" ht="30" customHeight="1" x14ac:dyDescent="0.35">
      <c r="A147" s="2">
        <v>61</v>
      </c>
      <c r="B147" s="3" t="s">
        <v>163</v>
      </c>
      <c r="C147" s="5" t="s">
        <v>20</v>
      </c>
      <c r="D147" s="13" t="s">
        <v>225</v>
      </c>
      <c r="E147" s="6" t="s">
        <v>21</v>
      </c>
      <c r="F147" s="7"/>
    </row>
    <row r="148" spans="1:6" ht="30" customHeight="1" x14ac:dyDescent="0.35">
      <c r="A148" s="8">
        <v>62</v>
      </c>
      <c r="B148" s="9" t="s">
        <v>164</v>
      </c>
      <c r="C148" s="5" t="s">
        <v>20</v>
      </c>
      <c r="D148" s="13" t="s">
        <v>228</v>
      </c>
      <c r="E148" s="10" t="s">
        <v>21</v>
      </c>
      <c r="F148" s="11"/>
    </row>
    <row r="149" spans="1:6" ht="30" customHeight="1" x14ac:dyDescent="0.35">
      <c r="A149" s="2">
        <v>63</v>
      </c>
      <c r="B149" s="3" t="s">
        <v>165</v>
      </c>
      <c r="C149" s="5" t="s">
        <v>20</v>
      </c>
      <c r="D149" s="13" t="s">
        <v>231</v>
      </c>
      <c r="E149" s="6" t="s">
        <v>21</v>
      </c>
      <c r="F149" s="7"/>
    </row>
    <row r="150" spans="1:6" ht="30" customHeight="1" x14ac:dyDescent="0.35">
      <c r="A150" s="8">
        <v>64</v>
      </c>
      <c r="B150" s="9" t="s">
        <v>166</v>
      </c>
      <c r="C150" s="5" t="s">
        <v>20</v>
      </c>
      <c r="D150" s="13" t="s">
        <v>225</v>
      </c>
      <c r="E150" s="10" t="s">
        <v>21</v>
      </c>
      <c r="F150" s="11"/>
    </row>
    <row r="151" spans="1:6" ht="30" customHeight="1" x14ac:dyDescent="0.35">
      <c r="A151" s="2">
        <v>65</v>
      </c>
      <c r="B151" s="3" t="s">
        <v>167</v>
      </c>
      <c r="C151" s="5" t="s">
        <v>20</v>
      </c>
      <c r="D151" s="13" t="s">
        <v>231</v>
      </c>
      <c r="E151" s="6" t="s">
        <v>21</v>
      </c>
      <c r="F151" s="7"/>
    </row>
    <row r="152" spans="1:6" ht="30" customHeight="1" x14ac:dyDescent="0.35">
      <c r="A152" s="8">
        <v>66</v>
      </c>
      <c r="B152" s="9" t="s">
        <v>168</v>
      </c>
      <c r="C152" s="5" t="s">
        <v>20</v>
      </c>
      <c r="D152" s="13" t="s">
        <v>237</v>
      </c>
      <c r="E152" s="10" t="s">
        <v>21</v>
      </c>
      <c r="F152" s="11"/>
    </row>
    <row r="153" spans="1:6" ht="30" customHeight="1" x14ac:dyDescent="0.35">
      <c r="A153" s="2">
        <v>67</v>
      </c>
      <c r="B153" s="3" t="s">
        <v>169</v>
      </c>
      <c r="C153" s="5" t="s">
        <v>20</v>
      </c>
      <c r="D153" s="13" t="s">
        <v>228</v>
      </c>
      <c r="E153" s="6" t="s">
        <v>21</v>
      </c>
      <c r="F153" s="7"/>
    </row>
    <row r="154" spans="1:6" ht="30" customHeight="1" x14ac:dyDescent="0.35">
      <c r="A154" s="8">
        <v>68</v>
      </c>
      <c r="B154" s="9" t="s">
        <v>170</v>
      </c>
      <c r="C154" s="5" t="s">
        <v>20</v>
      </c>
      <c r="D154" s="13" t="s">
        <v>225</v>
      </c>
      <c r="E154" s="10" t="s">
        <v>21</v>
      </c>
      <c r="F154" s="11"/>
    </row>
    <row r="155" spans="1:6" ht="30" customHeight="1" x14ac:dyDescent="0.35">
      <c r="A155" s="2">
        <v>69</v>
      </c>
      <c r="B155" s="3" t="s">
        <v>171</v>
      </c>
      <c r="C155" s="5" t="s">
        <v>20</v>
      </c>
      <c r="D155" s="13" t="s">
        <v>225</v>
      </c>
      <c r="E155" s="6" t="s">
        <v>21</v>
      </c>
      <c r="F155" s="7"/>
    </row>
    <row r="156" spans="1:6" ht="30" customHeight="1" x14ac:dyDescent="0.35">
      <c r="A156" s="8">
        <v>70</v>
      </c>
      <c r="B156" s="9" t="s">
        <v>172</v>
      </c>
      <c r="C156" s="5" t="s">
        <v>20</v>
      </c>
      <c r="D156" s="13" t="s">
        <v>234</v>
      </c>
      <c r="E156" s="10" t="s">
        <v>21</v>
      </c>
      <c r="F156" s="11"/>
    </row>
    <row r="157" spans="1:6" ht="30" customHeight="1" x14ac:dyDescent="0.35">
      <c r="A157" s="2">
        <v>71</v>
      </c>
      <c r="B157" s="3" t="s">
        <v>173</v>
      </c>
      <c r="C157" s="5" t="s">
        <v>20</v>
      </c>
      <c r="D157" s="13" t="s">
        <v>234</v>
      </c>
      <c r="E157" s="6" t="s">
        <v>21</v>
      </c>
      <c r="F157" s="7"/>
    </row>
    <row r="158" spans="1:6" ht="30" customHeight="1" x14ac:dyDescent="0.35">
      <c r="A158" s="8">
        <v>72</v>
      </c>
      <c r="B158" s="9" t="s">
        <v>174</v>
      </c>
      <c r="C158" s="5" t="s">
        <v>20</v>
      </c>
      <c r="D158" s="13" t="s">
        <v>234</v>
      </c>
      <c r="E158" s="10" t="s">
        <v>21</v>
      </c>
      <c r="F158" s="11"/>
    </row>
    <row r="159" spans="1:6" ht="30" customHeight="1" x14ac:dyDescent="0.35">
      <c r="A159" s="2">
        <v>73</v>
      </c>
      <c r="B159" s="3" t="s">
        <v>175</v>
      </c>
      <c r="C159" s="5" t="s">
        <v>20</v>
      </c>
      <c r="D159" s="13" t="s">
        <v>228</v>
      </c>
      <c r="E159" s="6" t="s">
        <v>21</v>
      </c>
      <c r="F159" s="7"/>
    </row>
    <row r="160" spans="1:6" ht="30" customHeight="1" x14ac:dyDescent="0.35">
      <c r="A160" s="8">
        <v>74</v>
      </c>
      <c r="B160" s="9" t="s">
        <v>176</v>
      </c>
      <c r="C160" s="5" t="s">
        <v>20</v>
      </c>
      <c r="D160" s="13" t="s">
        <v>231</v>
      </c>
      <c r="E160" s="10" t="s">
        <v>21</v>
      </c>
      <c r="F160" s="11"/>
    </row>
    <row r="161" spans="1:6" ht="30" customHeight="1" x14ac:dyDescent="0.35">
      <c r="A161" s="2">
        <v>75</v>
      </c>
      <c r="B161" s="3" t="s">
        <v>177</v>
      </c>
      <c r="C161" s="5" t="s">
        <v>20</v>
      </c>
      <c r="D161" s="13" t="s">
        <v>228</v>
      </c>
      <c r="E161" s="6" t="s">
        <v>21</v>
      </c>
      <c r="F161" s="7"/>
    </row>
    <row r="162" spans="1:6" ht="30" customHeight="1" x14ac:dyDescent="0.35">
      <c r="A162" s="8">
        <v>76</v>
      </c>
      <c r="B162" s="9" t="s">
        <v>178</v>
      </c>
      <c r="C162" s="5" t="s">
        <v>20</v>
      </c>
      <c r="D162" s="13" t="s">
        <v>228</v>
      </c>
      <c r="E162" s="10" t="s">
        <v>21</v>
      </c>
      <c r="F162" s="11"/>
    </row>
    <row r="163" spans="1:6" ht="30" customHeight="1" x14ac:dyDescent="0.35">
      <c r="A163" s="2">
        <v>77</v>
      </c>
      <c r="B163" s="3" t="s">
        <v>179</v>
      </c>
      <c r="C163" s="5" t="s">
        <v>20</v>
      </c>
      <c r="D163" s="13" t="s">
        <v>234</v>
      </c>
      <c r="E163" s="6" t="s">
        <v>21</v>
      </c>
      <c r="F163" s="7"/>
    </row>
    <row r="164" spans="1:6" ht="30" customHeight="1" x14ac:dyDescent="0.35">
      <c r="A164" s="8">
        <v>78</v>
      </c>
      <c r="B164" s="9" t="s">
        <v>180</v>
      </c>
      <c r="C164" s="5" t="s">
        <v>20</v>
      </c>
      <c r="D164" s="13" t="s">
        <v>225</v>
      </c>
      <c r="E164" s="10" t="s">
        <v>21</v>
      </c>
      <c r="F164" s="11"/>
    </row>
    <row r="165" spans="1:6" ht="30" customHeight="1" x14ac:dyDescent="0.35">
      <c r="A165" s="2">
        <v>79</v>
      </c>
      <c r="B165" s="3" t="s">
        <v>181</v>
      </c>
      <c r="C165" s="5" t="s">
        <v>20</v>
      </c>
      <c r="D165" s="13" t="s">
        <v>234</v>
      </c>
      <c r="E165" s="6" t="s">
        <v>21</v>
      </c>
      <c r="F165" s="7"/>
    </row>
    <row r="166" spans="1:6" ht="30" customHeight="1" x14ac:dyDescent="0.35">
      <c r="A166" s="8">
        <v>80</v>
      </c>
      <c r="B166" s="9" t="s">
        <v>182</v>
      </c>
      <c r="C166" s="5" t="s">
        <v>20</v>
      </c>
      <c r="D166" s="13" t="s">
        <v>237</v>
      </c>
      <c r="E166" s="10" t="s">
        <v>21</v>
      </c>
      <c r="F166" s="11"/>
    </row>
    <row r="167" spans="1:6" ht="30" customHeight="1" x14ac:dyDescent="0.35">
      <c r="A167" s="2">
        <v>81</v>
      </c>
      <c r="B167" s="3" t="s">
        <v>154</v>
      </c>
      <c r="C167" s="5" t="s">
        <v>20</v>
      </c>
      <c r="D167" s="13" t="s">
        <v>234</v>
      </c>
      <c r="E167" s="6" t="s">
        <v>21</v>
      </c>
      <c r="F167" s="7"/>
    </row>
    <row r="168" spans="1:6" ht="30" customHeight="1" x14ac:dyDescent="0.35">
      <c r="A168" s="8">
        <v>82</v>
      </c>
      <c r="B168" s="9" t="s">
        <v>183</v>
      </c>
      <c r="C168" s="5" t="s">
        <v>20</v>
      </c>
      <c r="D168" s="13" t="s">
        <v>228</v>
      </c>
      <c r="E168" s="10" t="s">
        <v>21</v>
      </c>
      <c r="F168" s="11"/>
    </row>
    <row r="169" spans="1:6" ht="30" customHeight="1" x14ac:dyDescent="0.35">
      <c r="A169" s="2">
        <v>83</v>
      </c>
      <c r="B169" s="3" t="s">
        <v>184</v>
      </c>
      <c r="C169" s="5" t="s">
        <v>20</v>
      </c>
      <c r="D169" s="13" t="s">
        <v>228</v>
      </c>
      <c r="E169" s="6" t="s">
        <v>21</v>
      </c>
      <c r="F169" s="7"/>
    </row>
    <row r="170" spans="1:6" ht="30" customHeight="1" x14ac:dyDescent="0.35">
      <c r="A170" s="8">
        <v>84</v>
      </c>
      <c r="B170" s="9" t="s">
        <v>185</v>
      </c>
      <c r="C170" s="5" t="s">
        <v>20</v>
      </c>
      <c r="D170" s="13" t="s">
        <v>234</v>
      </c>
      <c r="E170" s="10" t="s">
        <v>21</v>
      </c>
      <c r="F170" s="11"/>
    </row>
    <row r="171" spans="1:6" ht="30" customHeight="1" x14ac:dyDescent="0.35">
      <c r="A171" s="2">
        <v>85</v>
      </c>
      <c r="B171" s="3" t="s">
        <v>186</v>
      </c>
      <c r="C171" s="5" t="s">
        <v>20</v>
      </c>
      <c r="D171" s="13" t="s">
        <v>234</v>
      </c>
      <c r="E171" s="6" t="s">
        <v>21</v>
      </c>
      <c r="F171" s="7"/>
    </row>
    <row r="172" spans="1:6" ht="30" customHeight="1" x14ac:dyDescent="0.35">
      <c r="A172" s="8">
        <v>86</v>
      </c>
      <c r="B172" s="9" t="s">
        <v>187</v>
      </c>
      <c r="C172" s="5" t="s">
        <v>20</v>
      </c>
      <c r="D172" s="13" t="s">
        <v>237</v>
      </c>
      <c r="E172" s="10" t="s">
        <v>21</v>
      </c>
      <c r="F172" s="11"/>
    </row>
    <row r="173" spans="1:6" ht="30" customHeight="1" x14ac:dyDescent="0.35">
      <c r="A173" s="2">
        <v>87</v>
      </c>
      <c r="B173" s="3" t="s">
        <v>188</v>
      </c>
      <c r="C173" s="5" t="s">
        <v>20</v>
      </c>
      <c r="D173" s="13" t="s">
        <v>237</v>
      </c>
      <c r="E173" s="6" t="s">
        <v>21</v>
      </c>
      <c r="F173" s="7"/>
    </row>
    <row r="174" spans="1:6" ht="30" customHeight="1" x14ac:dyDescent="0.35">
      <c r="A174" s="8">
        <v>88</v>
      </c>
      <c r="B174" s="9" t="s">
        <v>189</v>
      </c>
      <c r="C174" s="5" t="s">
        <v>20</v>
      </c>
      <c r="D174" s="13" t="s">
        <v>225</v>
      </c>
      <c r="E174" s="10" t="s">
        <v>21</v>
      </c>
      <c r="F174" s="11"/>
    </row>
    <row r="175" spans="1:6" ht="30" customHeight="1" x14ac:dyDescent="0.35">
      <c r="A175" s="2">
        <v>89</v>
      </c>
      <c r="B175" s="3" t="s">
        <v>190</v>
      </c>
      <c r="C175" s="5" t="s">
        <v>20</v>
      </c>
      <c r="D175" s="13" t="s">
        <v>234</v>
      </c>
      <c r="E175" s="6" t="s">
        <v>21</v>
      </c>
      <c r="F175" s="7"/>
    </row>
    <row r="176" spans="1:6" ht="30" customHeight="1" x14ac:dyDescent="0.35">
      <c r="A176" s="8">
        <v>90</v>
      </c>
      <c r="B176" s="9" t="s">
        <v>191</v>
      </c>
      <c r="C176" s="5" t="s">
        <v>20</v>
      </c>
      <c r="D176" s="13" t="s">
        <v>234</v>
      </c>
      <c r="E176" s="10" t="s">
        <v>21</v>
      </c>
      <c r="F176" s="11"/>
    </row>
  </sheetData>
  <mergeCells count="2">
    <mergeCell ref="A85:F85"/>
    <mergeCell ref="A1:F1"/>
  </mergeCells>
  <dataValidations count="3">
    <dataValidation type="list" allowBlank="1" showErrorMessage="1" errorTitle="Label Tidak Valid" error="Pilih: positif, negatif, atau netral" sqref="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xr:uid="{00000000-0002-0000-0100-000000000000}">
      <formula1>"positif,negatif,netral"</formula1>
    </dataValidation>
    <dataValidation type="list" allowBlank="1"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xr:uid="{00000000-0002-0000-0100-000001000000}">
      <formula1>"✅ Yakin,❓ Ragu"</formula1>
    </dataValidation>
    <dataValidation type="list" allowBlank="1" showErrorMessage="1" errorTitle="Label Tidak Valid" error="Pilih: keluhan, permintaan, saran, apresiasi, atau darurat" sqref="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xr:uid="{00000000-0002-0000-0100-000002000000}">
      <formula1>"keluhan,permintaan,saran,apresiasi,darurat"</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76"/>
  <sheetViews>
    <sheetView showGridLines="0" tabSelected="1" topLeftCell="A157" workbookViewId="0">
      <selection activeCell="D108" sqref="D108"/>
    </sheetView>
  </sheetViews>
  <sheetFormatPr defaultRowHeight="14.5" x14ac:dyDescent="0.35"/>
  <cols>
    <col min="1" max="1" width="5" customWidth="1"/>
    <col min="2" max="2" width="55" customWidth="1"/>
    <col min="3" max="4" width="16" customWidth="1"/>
    <col min="5" max="5" width="10" customWidth="1"/>
    <col min="6" max="6" width="32" customWidth="1"/>
  </cols>
  <sheetData>
    <row r="1" spans="1:6" ht="28" customHeight="1" x14ac:dyDescent="0.35">
      <c r="A1" s="42" t="s">
        <v>192</v>
      </c>
      <c r="B1" s="29"/>
      <c r="C1" s="29"/>
      <c r="D1" s="29"/>
      <c r="E1" s="29"/>
      <c r="F1" s="29"/>
    </row>
    <row r="2" spans="1:6" ht="22" customHeight="1" x14ac:dyDescent="0.35">
      <c r="A2" s="1" t="s">
        <v>13</v>
      </c>
      <c r="B2" s="1" t="s">
        <v>14</v>
      </c>
      <c r="C2" s="1" t="s">
        <v>15</v>
      </c>
      <c r="D2" s="1" t="s">
        <v>16</v>
      </c>
      <c r="E2" s="1" t="s">
        <v>17</v>
      </c>
      <c r="F2" s="1" t="s">
        <v>18</v>
      </c>
    </row>
    <row r="3" spans="1:6" ht="30" customHeight="1" x14ac:dyDescent="0.35">
      <c r="A3" s="2">
        <v>1</v>
      </c>
      <c r="B3" s="3" t="s">
        <v>19</v>
      </c>
      <c r="C3" s="14" t="s">
        <v>215</v>
      </c>
      <c r="D3" s="5" t="s">
        <v>20</v>
      </c>
      <c r="E3" s="6" t="s">
        <v>21</v>
      </c>
      <c r="F3" s="7"/>
    </row>
    <row r="4" spans="1:6" ht="30" customHeight="1" x14ac:dyDescent="0.35">
      <c r="A4" s="8">
        <v>2</v>
      </c>
      <c r="B4" s="9" t="s">
        <v>22</v>
      </c>
      <c r="C4" s="14" t="s">
        <v>221</v>
      </c>
      <c r="D4" s="5" t="s">
        <v>20</v>
      </c>
      <c r="E4" s="10" t="s">
        <v>21</v>
      </c>
      <c r="F4" s="11"/>
    </row>
    <row r="5" spans="1:6" ht="30" customHeight="1" x14ac:dyDescent="0.35">
      <c r="A5" s="2">
        <v>3</v>
      </c>
      <c r="B5" s="3" t="s">
        <v>23</v>
      </c>
      <c r="C5" s="14" t="s">
        <v>221</v>
      </c>
      <c r="D5" s="5" t="s">
        <v>20</v>
      </c>
      <c r="E5" s="6" t="s">
        <v>21</v>
      </c>
      <c r="F5" s="7"/>
    </row>
    <row r="6" spans="1:6" ht="30" customHeight="1" x14ac:dyDescent="0.35">
      <c r="A6" s="8">
        <v>4</v>
      </c>
      <c r="B6" s="9" t="s">
        <v>24</v>
      </c>
      <c r="C6" s="14" t="s">
        <v>218</v>
      </c>
      <c r="D6" s="5" t="s">
        <v>20</v>
      </c>
      <c r="E6" s="10" t="s">
        <v>21</v>
      </c>
      <c r="F6" s="11"/>
    </row>
    <row r="7" spans="1:6" ht="30" customHeight="1" x14ac:dyDescent="0.35">
      <c r="A7" s="2">
        <v>5</v>
      </c>
      <c r="B7" s="3" t="s">
        <v>25</v>
      </c>
      <c r="C7" s="14" t="s">
        <v>218</v>
      </c>
      <c r="D7" s="5" t="s">
        <v>20</v>
      </c>
      <c r="E7" s="6" t="s">
        <v>21</v>
      </c>
      <c r="F7" s="7"/>
    </row>
    <row r="8" spans="1:6" ht="30" customHeight="1" x14ac:dyDescent="0.35">
      <c r="A8" s="8">
        <v>6</v>
      </c>
      <c r="B8" s="9" t="s">
        <v>26</v>
      </c>
      <c r="C8" s="14" t="s">
        <v>221</v>
      </c>
      <c r="D8" s="5" t="s">
        <v>20</v>
      </c>
      <c r="E8" s="10" t="s">
        <v>21</v>
      </c>
      <c r="F8" s="11"/>
    </row>
    <row r="9" spans="1:6" ht="30" customHeight="1" x14ac:dyDescent="0.35">
      <c r="A9" s="2">
        <v>7</v>
      </c>
      <c r="B9" s="3" t="s">
        <v>27</v>
      </c>
      <c r="C9" s="14" t="s">
        <v>215</v>
      </c>
      <c r="D9" s="5" t="s">
        <v>20</v>
      </c>
      <c r="E9" s="6" t="s">
        <v>21</v>
      </c>
      <c r="F9" s="7"/>
    </row>
    <row r="10" spans="1:6" ht="30" customHeight="1" x14ac:dyDescent="0.35">
      <c r="A10" s="8">
        <v>8</v>
      </c>
      <c r="B10" s="9" t="s">
        <v>28</v>
      </c>
      <c r="C10" s="14" t="s">
        <v>221</v>
      </c>
      <c r="D10" s="5" t="s">
        <v>20</v>
      </c>
      <c r="E10" s="10" t="s">
        <v>21</v>
      </c>
      <c r="F10" s="11"/>
    </row>
    <row r="11" spans="1:6" ht="30" customHeight="1" x14ac:dyDescent="0.35">
      <c r="A11" s="2">
        <v>9</v>
      </c>
      <c r="B11" s="3" t="s">
        <v>29</v>
      </c>
      <c r="C11" s="14" t="s">
        <v>221</v>
      </c>
      <c r="D11" s="5" t="s">
        <v>20</v>
      </c>
      <c r="E11" s="6" t="s">
        <v>21</v>
      </c>
      <c r="F11" s="7"/>
    </row>
    <row r="12" spans="1:6" ht="30" customHeight="1" x14ac:dyDescent="0.35">
      <c r="A12" s="8">
        <v>10</v>
      </c>
      <c r="B12" s="9" t="s">
        <v>30</v>
      </c>
      <c r="C12" s="14" t="s">
        <v>221</v>
      </c>
      <c r="D12" s="5" t="s">
        <v>20</v>
      </c>
      <c r="E12" s="10" t="s">
        <v>21</v>
      </c>
      <c r="F12" s="11"/>
    </row>
    <row r="13" spans="1:6" ht="30" customHeight="1" x14ac:dyDescent="0.35">
      <c r="A13" s="2">
        <v>11</v>
      </c>
      <c r="B13" s="3" t="s">
        <v>31</v>
      </c>
      <c r="C13" s="14" t="s">
        <v>218</v>
      </c>
      <c r="D13" s="5" t="s">
        <v>20</v>
      </c>
      <c r="E13" s="6" t="s">
        <v>21</v>
      </c>
      <c r="F13" s="7"/>
    </row>
    <row r="14" spans="1:6" ht="30" customHeight="1" x14ac:dyDescent="0.35">
      <c r="A14" s="8">
        <v>12</v>
      </c>
      <c r="B14" s="9" t="s">
        <v>32</v>
      </c>
      <c r="C14" s="14" t="s">
        <v>221</v>
      </c>
      <c r="D14" s="5" t="s">
        <v>20</v>
      </c>
      <c r="E14" s="10" t="s">
        <v>21</v>
      </c>
      <c r="F14" s="11"/>
    </row>
    <row r="15" spans="1:6" ht="30" customHeight="1" x14ac:dyDescent="0.35">
      <c r="A15" s="2">
        <v>13</v>
      </c>
      <c r="B15" s="3" t="s">
        <v>33</v>
      </c>
      <c r="C15" s="14" t="s">
        <v>215</v>
      </c>
      <c r="D15" s="5" t="s">
        <v>20</v>
      </c>
      <c r="E15" s="6" t="s">
        <v>21</v>
      </c>
      <c r="F15" s="7"/>
    </row>
    <row r="16" spans="1:6" ht="30" customHeight="1" x14ac:dyDescent="0.35">
      <c r="A16" s="8">
        <v>14</v>
      </c>
      <c r="B16" s="9" t="s">
        <v>34</v>
      </c>
      <c r="C16" s="14" t="s">
        <v>221</v>
      </c>
      <c r="D16" s="5" t="s">
        <v>20</v>
      </c>
      <c r="E16" s="10" t="s">
        <v>21</v>
      </c>
      <c r="F16" s="11"/>
    </row>
    <row r="17" spans="1:6" ht="30" customHeight="1" x14ac:dyDescent="0.35">
      <c r="A17" s="2">
        <v>15</v>
      </c>
      <c r="B17" s="3" t="s">
        <v>35</v>
      </c>
      <c r="C17" s="14" t="s">
        <v>218</v>
      </c>
      <c r="D17" s="5" t="s">
        <v>20</v>
      </c>
      <c r="E17" s="6" t="s">
        <v>21</v>
      </c>
      <c r="F17" s="7"/>
    </row>
    <row r="18" spans="1:6" ht="30" customHeight="1" x14ac:dyDescent="0.35">
      <c r="A18" s="8">
        <v>16</v>
      </c>
      <c r="B18" s="9" t="s">
        <v>36</v>
      </c>
      <c r="C18" s="14" t="s">
        <v>218</v>
      </c>
      <c r="D18" s="5" t="s">
        <v>20</v>
      </c>
      <c r="E18" s="10" t="s">
        <v>21</v>
      </c>
      <c r="F18" s="11"/>
    </row>
    <row r="19" spans="1:6" ht="30" customHeight="1" x14ac:dyDescent="0.35">
      <c r="A19" s="2">
        <v>17</v>
      </c>
      <c r="B19" s="3" t="s">
        <v>37</v>
      </c>
      <c r="C19" s="14" t="s">
        <v>215</v>
      </c>
      <c r="D19" s="5" t="s">
        <v>20</v>
      </c>
      <c r="E19" s="6" t="s">
        <v>21</v>
      </c>
      <c r="F19" s="7"/>
    </row>
    <row r="20" spans="1:6" ht="30" customHeight="1" x14ac:dyDescent="0.35">
      <c r="A20" s="8">
        <v>18</v>
      </c>
      <c r="B20" s="9" t="s">
        <v>38</v>
      </c>
      <c r="C20" s="14" t="s">
        <v>218</v>
      </c>
      <c r="D20" s="5" t="s">
        <v>20</v>
      </c>
      <c r="E20" s="10" t="s">
        <v>21</v>
      </c>
      <c r="F20" s="11"/>
    </row>
    <row r="21" spans="1:6" ht="30" customHeight="1" x14ac:dyDescent="0.35">
      <c r="A21" s="2">
        <v>19</v>
      </c>
      <c r="B21" s="3" t="s">
        <v>39</v>
      </c>
      <c r="C21" s="14" t="s">
        <v>221</v>
      </c>
      <c r="D21" s="5" t="s">
        <v>20</v>
      </c>
      <c r="E21" s="6" t="s">
        <v>21</v>
      </c>
      <c r="F21" s="7"/>
    </row>
    <row r="22" spans="1:6" ht="30" customHeight="1" x14ac:dyDescent="0.35">
      <c r="A22" s="8">
        <v>20</v>
      </c>
      <c r="B22" s="9" t="s">
        <v>40</v>
      </c>
      <c r="C22" s="14" t="s">
        <v>218</v>
      </c>
      <c r="D22" s="5" t="s">
        <v>20</v>
      </c>
      <c r="E22" s="10" t="s">
        <v>21</v>
      </c>
      <c r="F22" s="11"/>
    </row>
    <row r="23" spans="1:6" ht="30" customHeight="1" x14ac:dyDescent="0.35">
      <c r="A23" s="2">
        <v>21</v>
      </c>
      <c r="B23" s="3" t="s">
        <v>41</v>
      </c>
      <c r="C23" s="14" t="s">
        <v>221</v>
      </c>
      <c r="D23" s="5" t="s">
        <v>20</v>
      </c>
      <c r="E23" s="6" t="s">
        <v>21</v>
      </c>
      <c r="F23" s="7"/>
    </row>
    <row r="24" spans="1:6" ht="30" customHeight="1" x14ac:dyDescent="0.35">
      <c r="A24" s="8">
        <v>22</v>
      </c>
      <c r="B24" s="9" t="s">
        <v>42</v>
      </c>
      <c r="C24" s="14" t="s">
        <v>221</v>
      </c>
      <c r="D24" s="5" t="s">
        <v>20</v>
      </c>
      <c r="E24" s="10" t="s">
        <v>21</v>
      </c>
      <c r="F24" s="11"/>
    </row>
    <row r="25" spans="1:6" ht="30" customHeight="1" x14ac:dyDescent="0.35">
      <c r="A25" s="2">
        <v>23</v>
      </c>
      <c r="B25" s="3" t="s">
        <v>43</v>
      </c>
      <c r="C25" s="14" t="s">
        <v>218</v>
      </c>
      <c r="D25" s="5" t="s">
        <v>20</v>
      </c>
      <c r="E25" s="6" t="s">
        <v>21</v>
      </c>
      <c r="F25" s="7"/>
    </row>
    <row r="26" spans="1:6" ht="30" customHeight="1" x14ac:dyDescent="0.35">
      <c r="A26" s="8">
        <v>24</v>
      </c>
      <c r="B26" s="9" t="s">
        <v>44</v>
      </c>
      <c r="C26" s="14" t="s">
        <v>218</v>
      </c>
      <c r="D26" s="5" t="s">
        <v>20</v>
      </c>
      <c r="E26" s="10" t="s">
        <v>21</v>
      </c>
      <c r="F26" s="11"/>
    </row>
    <row r="27" spans="1:6" ht="30" customHeight="1" x14ac:dyDescent="0.35">
      <c r="A27" s="2">
        <v>25</v>
      </c>
      <c r="B27" s="3" t="s">
        <v>45</v>
      </c>
      <c r="C27" s="14" t="s">
        <v>215</v>
      </c>
      <c r="D27" s="5" t="s">
        <v>20</v>
      </c>
      <c r="E27" s="6" t="s">
        <v>21</v>
      </c>
      <c r="F27" s="7"/>
    </row>
    <row r="28" spans="1:6" ht="30" customHeight="1" x14ac:dyDescent="0.35">
      <c r="A28" s="8">
        <v>26</v>
      </c>
      <c r="B28" s="9" t="s">
        <v>46</v>
      </c>
      <c r="C28" s="14" t="s">
        <v>221</v>
      </c>
      <c r="D28" s="5" t="s">
        <v>20</v>
      </c>
      <c r="E28" s="10" t="s">
        <v>21</v>
      </c>
      <c r="F28" s="11"/>
    </row>
    <row r="29" spans="1:6" ht="30" customHeight="1" x14ac:dyDescent="0.35">
      <c r="A29" s="2">
        <v>27</v>
      </c>
      <c r="B29" s="3" t="s">
        <v>47</v>
      </c>
      <c r="C29" s="14" t="s">
        <v>215</v>
      </c>
      <c r="D29" s="5" t="s">
        <v>20</v>
      </c>
      <c r="E29" s="6" t="s">
        <v>21</v>
      </c>
      <c r="F29" s="7"/>
    </row>
    <row r="30" spans="1:6" ht="30" customHeight="1" x14ac:dyDescent="0.35">
      <c r="A30" s="8">
        <v>28</v>
      </c>
      <c r="B30" s="9" t="s">
        <v>48</v>
      </c>
      <c r="C30" s="14" t="s">
        <v>221</v>
      </c>
      <c r="D30" s="5" t="s">
        <v>20</v>
      </c>
      <c r="E30" s="10" t="s">
        <v>21</v>
      </c>
      <c r="F30" s="11"/>
    </row>
    <row r="31" spans="1:6" ht="30" customHeight="1" x14ac:dyDescent="0.35">
      <c r="A31" s="2">
        <v>29</v>
      </c>
      <c r="B31" s="3" t="s">
        <v>49</v>
      </c>
      <c r="C31" s="14" t="s">
        <v>221</v>
      </c>
      <c r="D31" s="5" t="s">
        <v>20</v>
      </c>
      <c r="E31" s="6" t="s">
        <v>21</v>
      </c>
      <c r="F31" s="7"/>
    </row>
    <row r="32" spans="1:6" ht="30" customHeight="1" x14ac:dyDescent="0.35">
      <c r="A32" s="8">
        <v>30</v>
      </c>
      <c r="B32" s="9" t="s">
        <v>50</v>
      </c>
      <c r="C32" s="14" t="s">
        <v>215</v>
      </c>
      <c r="D32" s="5" t="s">
        <v>20</v>
      </c>
      <c r="E32" s="10" t="s">
        <v>21</v>
      </c>
      <c r="F32" s="11"/>
    </row>
    <row r="33" spans="1:6" ht="30" customHeight="1" x14ac:dyDescent="0.35">
      <c r="A33" s="2">
        <v>31</v>
      </c>
      <c r="B33" s="3" t="s">
        <v>51</v>
      </c>
      <c r="C33" s="14" t="s">
        <v>221</v>
      </c>
      <c r="D33" s="5" t="s">
        <v>20</v>
      </c>
      <c r="E33" s="6" t="s">
        <v>21</v>
      </c>
      <c r="F33" s="7"/>
    </row>
    <row r="34" spans="1:6" ht="30" customHeight="1" x14ac:dyDescent="0.35">
      <c r="A34" s="8">
        <v>32</v>
      </c>
      <c r="B34" s="9" t="s">
        <v>52</v>
      </c>
      <c r="C34" s="14" t="s">
        <v>221</v>
      </c>
      <c r="D34" s="5" t="s">
        <v>20</v>
      </c>
      <c r="E34" s="10" t="s">
        <v>21</v>
      </c>
      <c r="F34" s="11"/>
    </row>
    <row r="35" spans="1:6" ht="30" customHeight="1" x14ac:dyDescent="0.35">
      <c r="A35" s="2">
        <v>33</v>
      </c>
      <c r="B35" s="3" t="s">
        <v>53</v>
      </c>
      <c r="C35" s="14" t="s">
        <v>218</v>
      </c>
      <c r="D35" s="5" t="s">
        <v>20</v>
      </c>
      <c r="E35" s="6" t="s">
        <v>21</v>
      </c>
      <c r="F35" s="7"/>
    </row>
    <row r="36" spans="1:6" ht="30" customHeight="1" x14ac:dyDescent="0.35">
      <c r="A36" s="8">
        <v>34</v>
      </c>
      <c r="B36" s="9" t="s">
        <v>54</v>
      </c>
      <c r="C36" s="14" t="s">
        <v>221</v>
      </c>
      <c r="D36" s="5" t="s">
        <v>20</v>
      </c>
      <c r="E36" s="10" t="s">
        <v>21</v>
      </c>
      <c r="F36" s="11"/>
    </row>
    <row r="37" spans="1:6" ht="30" customHeight="1" x14ac:dyDescent="0.35">
      <c r="A37" s="2">
        <v>35</v>
      </c>
      <c r="B37" s="3" t="s">
        <v>55</v>
      </c>
      <c r="C37" s="14" t="s">
        <v>218</v>
      </c>
      <c r="D37" s="5" t="s">
        <v>20</v>
      </c>
      <c r="E37" s="6" t="s">
        <v>21</v>
      </c>
      <c r="F37" s="7"/>
    </row>
    <row r="38" spans="1:6" ht="30" customHeight="1" x14ac:dyDescent="0.35">
      <c r="A38" s="8">
        <v>36</v>
      </c>
      <c r="B38" s="9" t="s">
        <v>56</v>
      </c>
      <c r="C38" s="14" t="s">
        <v>215</v>
      </c>
      <c r="D38" s="5" t="s">
        <v>20</v>
      </c>
      <c r="E38" s="10" t="s">
        <v>21</v>
      </c>
      <c r="F38" s="11"/>
    </row>
    <row r="39" spans="1:6" ht="30" customHeight="1" x14ac:dyDescent="0.35">
      <c r="A39" s="2">
        <v>37</v>
      </c>
      <c r="B39" s="3" t="s">
        <v>57</v>
      </c>
      <c r="C39" s="14" t="s">
        <v>221</v>
      </c>
      <c r="D39" s="5" t="s">
        <v>20</v>
      </c>
      <c r="E39" s="6" t="s">
        <v>21</v>
      </c>
      <c r="F39" s="7"/>
    </row>
    <row r="40" spans="1:6" ht="30" customHeight="1" x14ac:dyDescent="0.35">
      <c r="A40" s="8">
        <v>38</v>
      </c>
      <c r="B40" s="9" t="s">
        <v>58</v>
      </c>
      <c r="C40" s="14" t="s">
        <v>218</v>
      </c>
      <c r="D40" s="5" t="s">
        <v>20</v>
      </c>
      <c r="E40" s="10" t="s">
        <v>21</v>
      </c>
      <c r="F40" s="11"/>
    </row>
    <row r="41" spans="1:6" ht="30" customHeight="1" x14ac:dyDescent="0.35">
      <c r="A41" s="2">
        <v>39</v>
      </c>
      <c r="B41" s="3" t="s">
        <v>59</v>
      </c>
      <c r="C41" s="14" t="s">
        <v>218</v>
      </c>
      <c r="D41" s="5" t="s">
        <v>20</v>
      </c>
      <c r="E41" s="6" t="s">
        <v>21</v>
      </c>
      <c r="F41" s="7"/>
    </row>
    <row r="42" spans="1:6" ht="30" customHeight="1" x14ac:dyDescent="0.35">
      <c r="A42" s="8">
        <v>40</v>
      </c>
      <c r="B42" s="9" t="s">
        <v>60</v>
      </c>
      <c r="C42" s="14" t="s">
        <v>215</v>
      </c>
      <c r="D42" s="5" t="s">
        <v>20</v>
      </c>
      <c r="E42" s="10" t="s">
        <v>21</v>
      </c>
      <c r="F42" s="11"/>
    </row>
    <row r="43" spans="1:6" ht="30" customHeight="1" x14ac:dyDescent="0.35">
      <c r="A43" s="2">
        <v>41</v>
      </c>
      <c r="B43" s="3" t="s">
        <v>61</v>
      </c>
      <c r="C43" s="14" t="s">
        <v>215</v>
      </c>
      <c r="D43" s="5" t="s">
        <v>20</v>
      </c>
      <c r="E43" s="6" t="s">
        <v>21</v>
      </c>
      <c r="F43" s="7"/>
    </row>
    <row r="44" spans="1:6" ht="30" customHeight="1" x14ac:dyDescent="0.35">
      <c r="A44" s="8">
        <v>42</v>
      </c>
      <c r="B44" s="9" t="s">
        <v>62</v>
      </c>
      <c r="C44" s="14" t="s">
        <v>215</v>
      </c>
      <c r="D44" s="5" t="s">
        <v>20</v>
      </c>
      <c r="E44" s="10" t="s">
        <v>21</v>
      </c>
      <c r="F44" s="11"/>
    </row>
    <row r="45" spans="1:6" ht="30" customHeight="1" x14ac:dyDescent="0.35">
      <c r="A45" s="2">
        <v>43</v>
      </c>
      <c r="B45" s="3" t="s">
        <v>63</v>
      </c>
      <c r="C45" s="14" t="s">
        <v>215</v>
      </c>
      <c r="D45" s="5" t="s">
        <v>20</v>
      </c>
      <c r="E45" s="6" t="s">
        <v>21</v>
      </c>
      <c r="F45" s="7"/>
    </row>
    <row r="46" spans="1:6" ht="30" customHeight="1" x14ac:dyDescent="0.35">
      <c r="A46" s="8">
        <v>44</v>
      </c>
      <c r="B46" s="9" t="s">
        <v>64</v>
      </c>
      <c r="C46" s="14" t="s">
        <v>215</v>
      </c>
      <c r="D46" s="5" t="s">
        <v>20</v>
      </c>
      <c r="E46" s="10" t="s">
        <v>21</v>
      </c>
      <c r="F46" s="11"/>
    </row>
    <row r="47" spans="1:6" ht="30" customHeight="1" x14ac:dyDescent="0.35">
      <c r="A47" s="2">
        <v>45</v>
      </c>
      <c r="B47" s="3" t="s">
        <v>65</v>
      </c>
      <c r="C47" s="14" t="s">
        <v>218</v>
      </c>
      <c r="D47" s="5" t="s">
        <v>20</v>
      </c>
      <c r="E47" s="6" t="s">
        <v>21</v>
      </c>
      <c r="F47" s="7"/>
    </row>
    <row r="48" spans="1:6" ht="30" customHeight="1" x14ac:dyDescent="0.35">
      <c r="A48" s="8">
        <v>46</v>
      </c>
      <c r="B48" s="9" t="s">
        <v>66</v>
      </c>
      <c r="C48" s="14" t="s">
        <v>221</v>
      </c>
      <c r="D48" s="5" t="s">
        <v>20</v>
      </c>
      <c r="E48" s="10" t="s">
        <v>21</v>
      </c>
      <c r="F48" s="11"/>
    </row>
    <row r="49" spans="1:6" ht="30" customHeight="1" x14ac:dyDescent="0.35">
      <c r="A49" s="2">
        <v>47</v>
      </c>
      <c r="B49" s="3" t="s">
        <v>67</v>
      </c>
      <c r="C49" s="14" t="s">
        <v>215</v>
      </c>
      <c r="D49" s="5" t="s">
        <v>20</v>
      </c>
      <c r="E49" s="6" t="s">
        <v>21</v>
      </c>
      <c r="F49" s="7"/>
    </row>
    <row r="50" spans="1:6" ht="30" customHeight="1" x14ac:dyDescent="0.35">
      <c r="A50" s="8">
        <v>48</v>
      </c>
      <c r="B50" s="9" t="s">
        <v>68</v>
      </c>
      <c r="C50" s="14" t="s">
        <v>215</v>
      </c>
      <c r="D50" s="5" t="s">
        <v>20</v>
      </c>
      <c r="E50" s="10" t="s">
        <v>21</v>
      </c>
      <c r="F50" s="11"/>
    </row>
    <row r="51" spans="1:6" ht="30" customHeight="1" x14ac:dyDescent="0.35">
      <c r="A51" s="2">
        <v>49</v>
      </c>
      <c r="B51" s="3" t="s">
        <v>69</v>
      </c>
      <c r="C51" s="14" t="s">
        <v>215</v>
      </c>
      <c r="D51" s="5" t="s">
        <v>20</v>
      </c>
      <c r="E51" s="6" t="s">
        <v>21</v>
      </c>
      <c r="F51" s="7"/>
    </row>
    <row r="52" spans="1:6" ht="30" customHeight="1" x14ac:dyDescent="0.35">
      <c r="A52" s="8">
        <v>50</v>
      </c>
      <c r="B52" s="9" t="s">
        <v>70</v>
      </c>
      <c r="C52" s="14" t="s">
        <v>218</v>
      </c>
      <c r="D52" s="5" t="s">
        <v>20</v>
      </c>
      <c r="E52" s="10" t="s">
        <v>21</v>
      </c>
      <c r="F52" s="11"/>
    </row>
    <row r="53" spans="1:6" ht="30" customHeight="1" x14ac:dyDescent="0.35">
      <c r="A53" s="2">
        <v>51</v>
      </c>
      <c r="B53" s="3" t="s">
        <v>71</v>
      </c>
      <c r="C53" s="14" t="s">
        <v>218</v>
      </c>
      <c r="D53" s="5" t="s">
        <v>20</v>
      </c>
      <c r="E53" s="6" t="s">
        <v>21</v>
      </c>
      <c r="F53" s="7"/>
    </row>
    <row r="54" spans="1:6" ht="30" customHeight="1" x14ac:dyDescent="0.35">
      <c r="A54" s="8">
        <v>52</v>
      </c>
      <c r="B54" s="9" t="s">
        <v>72</v>
      </c>
      <c r="C54" s="14" t="s">
        <v>221</v>
      </c>
      <c r="D54" s="5" t="s">
        <v>20</v>
      </c>
      <c r="E54" s="10" t="s">
        <v>21</v>
      </c>
      <c r="F54" s="11"/>
    </row>
    <row r="55" spans="1:6" ht="30" customHeight="1" x14ac:dyDescent="0.35">
      <c r="A55" s="2">
        <v>53</v>
      </c>
      <c r="B55" s="3" t="s">
        <v>73</v>
      </c>
      <c r="C55" s="14" t="s">
        <v>218</v>
      </c>
      <c r="D55" s="5" t="s">
        <v>20</v>
      </c>
      <c r="E55" s="6" t="s">
        <v>21</v>
      </c>
      <c r="F55" s="7"/>
    </row>
    <row r="56" spans="1:6" ht="30" customHeight="1" x14ac:dyDescent="0.35">
      <c r="A56" s="8">
        <v>54</v>
      </c>
      <c r="B56" s="9" t="s">
        <v>74</v>
      </c>
      <c r="C56" s="14" t="s">
        <v>218</v>
      </c>
      <c r="D56" s="5" t="s">
        <v>20</v>
      </c>
      <c r="E56" s="10" t="s">
        <v>21</v>
      </c>
      <c r="F56" s="11"/>
    </row>
    <row r="57" spans="1:6" ht="30" customHeight="1" x14ac:dyDescent="0.35">
      <c r="A57" s="2">
        <v>55</v>
      </c>
      <c r="B57" s="3" t="s">
        <v>75</v>
      </c>
      <c r="C57" s="14" t="s">
        <v>215</v>
      </c>
      <c r="D57" s="5" t="s">
        <v>20</v>
      </c>
      <c r="E57" s="6" t="s">
        <v>21</v>
      </c>
      <c r="F57" s="7"/>
    </row>
    <row r="58" spans="1:6" ht="30" customHeight="1" x14ac:dyDescent="0.35">
      <c r="A58" s="8">
        <v>56</v>
      </c>
      <c r="B58" s="9" t="s">
        <v>76</v>
      </c>
      <c r="C58" s="14" t="s">
        <v>215</v>
      </c>
      <c r="D58" s="5" t="s">
        <v>20</v>
      </c>
      <c r="E58" s="10" t="s">
        <v>21</v>
      </c>
      <c r="F58" s="11"/>
    </row>
    <row r="59" spans="1:6" ht="30" customHeight="1" x14ac:dyDescent="0.35">
      <c r="A59" s="2">
        <v>57</v>
      </c>
      <c r="B59" s="3" t="s">
        <v>77</v>
      </c>
      <c r="C59" s="14" t="s">
        <v>215</v>
      </c>
      <c r="D59" s="5" t="s">
        <v>20</v>
      </c>
      <c r="E59" s="6" t="s">
        <v>21</v>
      </c>
      <c r="F59" s="7"/>
    </row>
    <row r="60" spans="1:6" ht="30" customHeight="1" x14ac:dyDescent="0.35">
      <c r="A60" s="8">
        <v>58</v>
      </c>
      <c r="B60" s="9" t="s">
        <v>78</v>
      </c>
      <c r="C60" s="14" t="s">
        <v>215</v>
      </c>
      <c r="D60" s="5" t="s">
        <v>20</v>
      </c>
      <c r="E60" s="10" t="s">
        <v>21</v>
      </c>
      <c r="F60" s="11"/>
    </row>
    <row r="61" spans="1:6" ht="30" customHeight="1" x14ac:dyDescent="0.35">
      <c r="A61" s="2">
        <v>59</v>
      </c>
      <c r="B61" s="3" t="s">
        <v>79</v>
      </c>
      <c r="C61" s="14" t="s">
        <v>215</v>
      </c>
      <c r="D61" s="5" t="s">
        <v>20</v>
      </c>
      <c r="E61" s="6" t="s">
        <v>21</v>
      </c>
      <c r="F61" s="7"/>
    </row>
    <row r="62" spans="1:6" ht="30" customHeight="1" x14ac:dyDescent="0.35">
      <c r="A62" s="8">
        <v>60</v>
      </c>
      <c r="B62" s="9" t="s">
        <v>80</v>
      </c>
      <c r="C62" s="14" t="s">
        <v>215</v>
      </c>
      <c r="D62" s="5" t="s">
        <v>20</v>
      </c>
      <c r="E62" s="10" t="s">
        <v>21</v>
      </c>
      <c r="F62" s="11"/>
    </row>
    <row r="63" spans="1:6" ht="30" customHeight="1" x14ac:dyDescent="0.35">
      <c r="A63" s="2">
        <v>61</v>
      </c>
      <c r="B63" s="3" t="s">
        <v>81</v>
      </c>
      <c r="C63" s="14" t="s">
        <v>215</v>
      </c>
      <c r="D63" s="5" t="s">
        <v>20</v>
      </c>
      <c r="E63" s="6" t="s">
        <v>21</v>
      </c>
      <c r="F63" s="7"/>
    </row>
    <row r="64" spans="1:6" ht="30" customHeight="1" x14ac:dyDescent="0.35">
      <c r="A64" s="8">
        <v>62</v>
      </c>
      <c r="B64" s="9" t="s">
        <v>82</v>
      </c>
      <c r="C64" s="14" t="s">
        <v>215</v>
      </c>
      <c r="D64" s="5" t="s">
        <v>20</v>
      </c>
      <c r="E64" s="10" t="s">
        <v>21</v>
      </c>
      <c r="F64" s="11"/>
    </row>
    <row r="65" spans="1:6" ht="30" customHeight="1" x14ac:dyDescent="0.35">
      <c r="A65" s="2">
        <v>63</v>
      </c>
      <c r="B65" s="3" t="s">
        <v>83</v>
      </c>
      <c r="C65" s="14" t="s">
        <v>221</v>
      </c>
      <c r="D65" s="5" t="s">
        <v>20</v>
      </c>
      <c r="E65" s="6" t="s">
        <v>21</v>
      </c>
      <c r="F65" s="7"/>
    </row>
    <row r="66" spans="1:6" ht="30" customHeight="1" x14ac:dyDescent="0.35">
      <c r="A66" s="8">
        <v>64</v>
      </c>
      <c r="B66" s="9" t="s">
        <v>84</v>
      </c>
      <c r="C66" s="14" t="s">
        <v>221</v>
      </c>
      <c r="D66" s="5" t="s">
        <v>20</v>
      </c>
      <c r="E66" s="10" t="s">
        <v>21</v>
      </c>
      <c r="F66" s="11"/>
    </row>
    <row r="67" spans="1:6" ht="30" customHeight="1" x14ac:dyDescent="0.35">
      <c r="A67" s="2">
        <v>65</v>
      </c>
      <c r="B67" s="3" t="s">
        <v>85</v>
      </c>
      <c r="C67" s="14" t="s">
        <v>215</v>
      </c>
      <c r="D67" s="5" t="s">
        <v>20</v>
      </c>
      <c r="E67" s="6" t="s">
        <v>21</v>
      </c>
      <c r="F67" s="7"/>
    </row>
    <row r="68" spans="1:6" ht="30" customHeight="1" x14ac:dyDescent="0.35">
      <c r="A68" s="8">
        <v>66</v>
      </c>
      <c r="B68" s="9" t="s">
        <v>86</v>
      </c>
      <c r="C68" s="14" t="s">
        <v>215</v>
      </c>
      <c r="D68" s="5" t="s">
        <v>20</v>
      </c>
      <c r="E68" s="10" t="s">
        <v>21</v>
      </c>
      <c r="F68" s="11"/>
    </row>
    <row r="69" spans="1:6" ht="30" customHeight="1" x14ac:dyDescent="0.35">
      <c r="A69" s="2">
        <v>67</v>
      </c>
      <c r="B69" s="3" t="s">
        <v>87</v>
      </c>
      <c r="C69" s="14" t="s">
        <v>221</v>
      </c>
      <c r="D69" s="5" t="s">
        <v>20</v>
      </c>
      <c r="E69" s="6" t="s">
        <v>21</v>
      </c>
      <c r="F69" s="7"/>
    </row>
    <row r="70" spans="1:6" ht="30" customHeight="1" x14ac:dyDescent="0.35">
      <c r="A70" s="8">
        <v>68</v>
      </c>
      <c r="B70" s="9" t="s">
        <v>88</v>
      </c>
      <c r="C70" s="14" t="s">
        <v>215</v>
      </c>
      <c r="D70" s="5" t="s">
        <v>20</v>
      </c>
      <c r="E70" s="10" t="s">
        <v>21</v>
      </c>
      <c r="F70" s="11"/>
    </row>
    <row r="71" spans="1:6" ht="30" customHeight="1" x14ac:dyDescent="0.35">
      <c r="A71" s="2">
        <v>69</v>
      </c>
      <c r="B71" s="3" t="s">
        <v>89</v>
      </c>
      <c r="C71" s="14" t="s">
        <v>215</v>
      </c>
      <c r="D71" s="5" t="s">
        <v>20</v>
      </c>
      <c r="E71" s="6" t="s">
        <v>21</v>
      </c>
      <c r="F71" s="7"/>
    </row>
    <row r="72" spans="1:6" ht="30" customHeight="1" x14ac:dyDescent="0.35">
      <c r="A72" s="8">
        <v>70</v>
      </c>
      <c r="B72" s="9" t="s">
        <v>90</v>
      </c>
      <c r="C72" s="14" t="s">
        <v>218</v>
      </c>
      <c r="D72" s="5" t="s">
        <v>20</v>
      </c>
      <c r="E72" s="10" t="s">
        <v>21</v>
      </c>
      <c r="F72" s="11"/>
    </row>
    <row r="73" spans="1:6" ht="30" customHeight="1" x14ac:dyDescent="0.35">
      <c r="A73" s="2">
        <v>71</v>
      </c>
      <c r="B73" s="3" t="s">
        <v>91</v>
      </c>
      <c r="C73" s="14" t="s">
        <v>215</v>
      </c>
      <c r="D73" s="5" t="s">
        <v>20</v>
      </c>
      <c r="E73" s="6" t="s">
        <v>21</v>
      </c>
      <c r="F73" s="7"/>
    </row>
    <row r="74" spans="1:6" ht="30" customHeight="1" x14ac:dyDescent="0.35">
      <c r="A74" s="8">
        <v>72</v>
      </c>
      <c r="B74" s="9" t="s">
        <v>92</v>
      </c>
      <c r="C74" s="14" t="s">
        <v>215</v>
      </c>
      <c r="D74" s="5" t="s">
        <v>20</v>
      </c>
      <c r="E74" s="10" t="s">
        <v>21</v>
      </c>
      <c r="F74" s="11"/>
    </row>
    <row r="75" spans="1:6" ht="30" customHeight="1" x14ac:dyDescent="0.35">
      <c r="A75" s="2">
        <v>73</v>
      </c>
      <c r="B75" s="3" t="s">
        <v>93</v>
      </c>
      <c r="C75" s="14" t="s">
        <v>215</v>
      </c>
      <c r="D75" s="5" t="s">
        <v>20</v>
      </c>
      <c r="E75" s="6" t="s">
        <v>21</v>
      </c>
      <c r="F75" s="7"/>
    </row>
    <row r="76" spans="1:6" ht="30" customHeight="1" x14ac:dyDescent="0.35">
      <c r="A76" s="8">
        <v>74</v>
      </c>
      <c r="B76" s="9" t="s">
        <v>94</v>
      </c>
      <c r="C76" s="14" t="s">
        <v>215</v>
      </c>
      <c r="D76" s="5" t="s">
        <v>20</v>
      </c>
      <c r="E76" s="10" t="s">
        <v>21</v>
      </c>
      <c r="F76" s="11"/>
    </row>
    <row r="77" spans="1:6" ht="30" customHeight="1" x14ac:dyDescent="0.35">
      <c r="A77" s="2">
        <v>75</v>
      </c>
      <c r="B77" s="3" t="s">
        <v>95</v>
      </c>
      <c r="C77" s="14" t="s">
        <v>215</v>
      </c>
      <c r="D77" s="5" t="s">
        <v>20</v>
      </c>
      <c r="E77" s="6" t="s">
        <v>21</v>
      </c>
      <c r="F77" s="7"/>
    </row>
    <row r="78" spans="1:6" ht="30" customHeight="1" x14ac:dyDescent="0.35">
      <c r="A78" s="8">
        <v>76</v>
      </c>
      <c r="B78" s="9" t="s">
        <v>96</v>
      </c>
      <c r="C78" s="14" t="s">
        <v>218</v>
      </c>
      <c r="D78" s="5" t="s">
        <v>20</v>
      </c>
      <c r="E78" s="10" t="s">
        <v>21</v>
      </c>
      <c r="F78" s="11"/>
    </row>
    <row r="79" spans="1:6" ht="30" customHeight="1" x14ac:dyDescent="0.35">
      <c r="A79" s="2">
        <v>77</v>
      </c>
      <c r="B79" s="3" t="s">
        <v>97</v>
      </c>
      <c r="C79" s="14" t="s">
        <v>215</v>
      </c>
      <c r="D79" s="5" t="s">
        <v>20</v>
      </c>
      <c r="E79" s="6" t="s">
        <v>21</v>
      </c>
      <c r="F79" s="7"/>
    </row>
    <row r="80" spans="1:6" ht="30" customHeight="1" x14ac:dyDescent="0.35">
      <c r="A80" s="8">
        <v>78</v>
      </c>
      <c r="B80" s="9" t="s">
        <v>98</v>
      </c>
      <c r="C80" s="14" t="s">
        <v>218</v>
      </c>
      <c r="D80" s="5" t="s">
        <v>20</v>
      </c>
      <c r="E80" s="10" t="s">
        <v>21</v>
      </c>
      <c r="F80" s="11"/>
    </row>
    <row r="81" spans="1:6" ht="30" customHeight="1" x14ac:dyDescent="0.35">
      <c r="A81" s="2">
        <v>79</v>
      </c>
      <c r="B81" s="3" t="s">
        <v>99</v>
      </c>
      <c r="C81" s="14" t="s">
        <v>218</v>
      </c>
      <c r="D81" s="5" t="s">
        <v>20</v>
      </c>
      <c r="E81" s="6" t="s">
        <v>21</v>
      </c>
      <c r="F81" s="7"/>
    </row>
    <row r="82" spans="1:6" ht="30" customHeight="1" x14ac:dyDescent="0.35">
      <c r="A82" s="8">
        <v>80</v>
      </c>
      <c r="B82" s="9" t="s">
        <v>100</v>
      </c>
      <c r="C82" s="14" t="s">
        <v>215</v>
      </c>
      <c r="D82" s="5" t="s">
        <v>20</v>
      </c>
      <c r="E82" s="10" t="s">
        <v>21</v>
      </c>
      <c r="F82" s="11"/>
    </row>
    <row r="83" spans="1:6" ht="30" customHeight="1" x14ac:dyDescent="0.35">
      <c r="A83" s="2">
        <v>81</v>
      </c>
      <c r="B83" s="3" t="s">
        <v>101</v>
      </c>
      <c r="C83" s="14" t="s">
        <v>218</v>
      </c>
      <c r="D83" s="5" t="s">
        <v>20</v>
      </c>
      <c r="E83" s="6" t="s">
        <v>21</v>
      </c>
      <c r="F83" s="7"/>
    </row>
    <row r="85" spans="1:6" ht="28" customHeight="1" x14ac:dyDescent="0.35">
      <c r="A85" s="41" t="s">
        <v>193</v>
      </c>
      <c r="B85" s="29"/>
      <c r="C85" s="29"/>
      <c r="D85" s="29"/>
      <c r="E85" s="29"/>
      <c r="F85" s="29"/>
    </row>
    <row r="86" spans="1:6" ht="22" customHeight="1" x14ac:dyDescent="0.35">
      <c r="A86" s="12" t="s">
        <v>13</v>
      </c>
      <c r="B86" s="12" t="s">
        <v>14</v>
      </c>
      <c r="C86" s="12" t="s">
        <v>103</v>
      </c>
      <c r="D86" s="12" t="s">
        <v>104</v>
      </c>
      <c r="E86" s="12" t="s">
        <v>17</v>
      </c>
      <c r="F86" s="12" t="s">
        <v>18</v>
      </c>
    </row>
    <row r="87" spans="1:6" ht="30" customHeight="1" x14ac:dyDescent="0.35">
      <c r="A87" s="2">
        <v>1</v>
      </c>
      <c r="B87" s="3" t="s">
        <v>105</v>
      </c>
      <c r="C87" s="5" t="s">
        <v>20</v>
      </c>
      <c r="D87" s="15" t="s">
        <v>237</v>
      </c>
      <c r="E87" s="6" t="s">
        <v>21</v>
      </c>
      <c r="F87" s="7"/>
    </row>
    <row r="88" spans="1:6" ht="30" customHeight="1" x14ac:dyDescent="0.35">
      <c r="A88" s="8">
        <v>2</v>
      </c>
      <c r="B88" s="9" t="s">
        <v>106</v>
      </c>
      <c r="C88" s="5" t="s">
        <v>20</v>
      </c>
      <c r="D88" s="15" t="s">
        <v>225</v>
      </c>
      <c r="E88" s="10" t="s">
        <v>21</v>
      </c>
      <c r="F88" s="11"/>
    </row>
    <row r="89" spans="1:6" ht="30" customHeight="1" x14ac:dyDescent="0.35">
      <c r="A89" s="2">
        <v>3</v>
      </c>
      <c r="B89" s="3" t="s">
        <v>107</v>
      </c>
      <c r="C89" s="5" t="s">
        <v>20</v>
      </c>
      <c r="D89" s="15" t="s">
        <v>228</v>
      </c>
      <c r="E89" s="6" t="s">
        <v>21</v>
      </c>
      <c r="F89" s="7"/>
    </row>
    <row r="90" spans="1:6" ht="30" customHeight="1" x14ac:dyDescent="0.35">
      <c r="A90" s="8">
        <v>4</v>
      </c>
      <c r="B90" s="9" t="s">
        <v>108</v>
      </c>
      <c r="C90" s="5" t="s">
        <v>20</v>
      </c>
      <c r="D90" s="15" t="s">
        <v>237</v>
      </c>
      <c r="E90" s="10" t="s">
        <v>21</v>
      </c>
      <c r="F90" s="11"/>
    </row>
    <row r="91" spans="1:6" ht="30" customHeight="1" x14ac:dyDescent="0.35">
      <c r="A91" s="2">
        <v>5</v>
      </c>
      <c r="B91" s="3" t="s">
        <v>109</v>
      </c>
      <c r="C91" s="5" t="s">
        <v>20</v>
      </c>
      <c r="D91" s="15" t="s">
        <v>228</v>
      </c>
      <c r="E91" s="6" t="s">
        <v>21</v>
      </c>
      <c r="F91" s="7"/>
    </row>
    <row r="92" spans="1:6" ht="30" customHeight="1" x14ac:dyDescent="0.35">
      <c r="A92" s="8">
        <v>6</v>
      </c>
      <c r="B92" s="9" t="s">
        <v>110</v>
      </c>
      <c r="C92" s="5" t="s">
        <v>20</v>
      </c>
      <c r="D92" s="15" t="s">
        <v>234</v>
      </c>
      <c r="E92" s="10" t="s">
        <v>21</v>
      </c>
      <c r="F92" s="11"/>
    </row>
    <row r="93" spans="1:6" ht="30" customHeight="1" x14ac:dyDescent="0.35">
      <c r="A93" s="2">
        <v>7</v>
      </c>
      <c r="B93" s="3" t="s">
        <v>111</v>
      </c>
      <c r="C93" s="5" t="s">
        <v>20</v>
      </c>
      <c r="D93" s="15" t="s">
        <v>237</v>
      </c>
      <c r="E93" s="6" t="s">
        <v>21</v>
      </c>
      <c r="F93" s="7"/>
    </row>
    <row r="94" spans="1:6" ht="30" customHeight="1" x14ac:dyDescent="0.35">
      <c r="A94" s="8">
        <v>8</v>
      </c>
      <c r="B94" s="9" t="s">
        <v>112</v>
      </c>
      <c r="C94" s="5" t="s">
        <v>20</v>
      </c>
      <c r="D94" s="15" t="s">
        <v>225</v>
      </c>
      <c r="E94" s="10" t="s">
        <v>21</v>
      </c>
      <c r="F94" s="11"/>
    </row>
    <row r="95" spans="1:6" ht="30" customHeight="1" x14ac:dyDescent="0.35">
      <c r="A95" s="2">
        <v>9</v>
      </c>
      <c r="B95" s="3" t="s">
        <v>113</v>
      </c>
      <c r="C95" s="5" t="s">
        <v>20</v>
      </c>
      <c r="D95" s="15" t="s">
        <v>234</v>
      </c>
      <c r="E95" s="6" t="s">
        <v>21</v>
      </c>
      <c r="F95" s="7"/>
    </row>
    <row r="96" spans="1:6" ht="30" customHeight="1" x14ac:dyDescent="0.35">
      <c r="A96" s="8">
        <v>10</v>
      </c>
      <c r="B96" s="9" t="s">
        <v>114</v>
      </c>
      <c r="C96" s="5" t="s">
        <v>20</v>
      </c>
      <c r="D96" s="15" t="s">
        <v>231</v>
      </c>
      <c r="E96" s="10" t="s">
        <v>21</v>
      </c>
      <c r="F96" s="11"/>
    </row>
    <row r="97" spans="1:6" ht="30" customHeight="1" x14ac:dyDescent="0.35">
      <c r="A97" s="2">
        <v>11</v>
      </c>
      <c r="B97" s="3" t="s">
        <v>115</v>
      </c>
      <c r="C97" s="5" t="s">
        <v>20</v>
      </c>
      <c r="D97" s="15" t="s">
        <v>228</v>
      </c>
      <c r="E97" s="6" t="s">
        <v>21</v>
      </c>
      <c r="F97" s="7"/>
    </row>
    <row r="98" spans="1:6" ht="30" customHeight="1" x14ac:dyDescent="0.35">
      <c r="A98" s="8">
        <v>12</v>
      </c>
      <c r="B98" s="9" t="s">
        <v>116</v>
      </c>
      <c r="C98" s="5" t="s">
        <v>20</v>
      </c>
      <c r="D98" s="15" t="s">
        <v>237</v>
      </c>
      <c r="E98" s="10" t="s">
        <v>21</v>
      </c>
      <c r="F98" s="11"/>
    </row>
    <row r="99" spans="1:6" ht="30" customHeight="1" x14ac:dyDescent="0.35">
      <c r="A99" s="2">
        <v>13</v>
      </c>
      <c r="B99" s="3" t="s">
        <v>117</v>
      </c>
      <c r="C99" s="5" t="s">
        <v>20</v>
      </c>
      <c r="D99" s="15" t="s">
        <v>231</v>
      </c>
      <c r="E99" s="6" t="s">
        <v>21</v>
      </c>
      <c r="F99" s="7"/>
    </row>
    <row r="100" spans="1:6" ht="30" customHeight="1" x14ac:dyDescent="0.35">
      <c r="A100" s="8">
        <v>14</v>
      </c>
      <c r="B100" s="9" t="s">
        <v>105</v>
      </c>
      <c r="C100" s="5" t="s">
        <v>20</v>
      </c>
      <c r="D100" s="15" t="s">
        <v>237</v>
      </c>
      <c r="E100" s="10" t="s">
        <v>21</v>
      </c>
      <c r="F100" s="11"/>
    </row>
    <row r="101" spans="1:6" ht="30" customHeight="1" x14ac:dyDescent="0.35">
      <c r="A101" s="2">
        <v>15</v>
      </c>
      <c r="B101" s="3" t="s">
        <v>118</v>
      </c>
      <c r="C101" s="5" t="s">
        <v>20</v>
      </c>
      <c r="D101" s="15" t="s">
        <v>225</v>
      </c>
      <c r="E101" s="6" t="s">
        <v>21</v>
      </c>
      <c r="F101" s="7"/>
    </row>
    <row r="102" spans="1:6" ht="30" customHeight="1" x14ac:dyDescent="0.35">
      <c r="A102" s="8">
        <v>16</v>
      </c>
      <c r="B102" s="9" t="s">
        <v>119</v>
      </c>
      <c r="C102" s="5" t="s">
        <v>20</v>
      </c>
      <c r="D102" s="15" t="s">
        <v>228</v>
      </c>
      <c r="E102" s="10" t="s">
        <v>21</v>
      </c>
      <c r="F102" s="11"/>
    </row>
    <row r="103" spans="1:6" ht="30" customHeight="1" x14ac:dyDescent="0.35">
      <c r="A103" s="2">
        <v>17</v>
      </c>
      <c r="B103" s="3" t="s">
        <v>120</v>
      </c>
      <c r="C103" s="5" t="s">
        <v>20</v>
      </c>
      <c r="D103" s="15" t="s">
        <v>225</v>
      </c>
      <c r="E103" s="6" t="s">
        <v>21</v>
      </c>
      <c r="F103" s="7"/>
    </row>
    <row r="104" spans="1:6" ht="30" customHeight="1" x14ac:dyDescent="0.35">
      <c r="A104" s="8">
        <v>18</v>
      </c>
      <c r="B104" s="9" t="s">
        <v>121</v>
      </c>
      <c r="C104" s="5" t="s">
        <v>20</v>
      </c>
      <c r="D104" s="15" t="s">
        <v>237</v>
      </c>
      <c r="E104" s="10" t="s">
        <v>21</v>
      </c>
      <c r="F104" s="11"/>
    </row>
    <row r="105" spans="1:6" ht="30" customHeight="1" x14ac:dyDescent="0.35">
      <c r="A105" s="2">
        <v>19</v>
      </c>
      <c r="B105" s="3" t="s">
        <v>122</v>
      </c>
      <c r="C105" s="5" t="s">
        <v>20</v>
      </c>
      <c r="D105" s="15" t="s">
        <v>228</v>
      </c>
      <c r="E105" s="6" t="s">
        <v>21</v>
      </c>
      <c r="F105" s="7"/>
    </row>
    <row r="106" spans="1:6" ht="30" customHeight="1" x14ac:dyDescent="0.35">
      <c r="A106" s="8">
        <v>20</v>
      </c>
      <c r="B106" s="9" t="s">
        <v>123</v>
      </c>
      <c r="C106" s="5" t="s">
        <v>20</v>
      </c>
      <c r="D106" s="15" t="s">
        <v>231</v>
      </c>
      <c r="E106" s="10" t="s">
        <v>21</v>
      </c>
      <c r="F106" s="11"/>
    </row>
    <row r="107" spans="1:6" ht="30" customHeight="1" x14ac:dyDescent="0.35">
      <c r="A107" s="2">
        <v>21</v>
      </c>
      <c r="B107" s="3" t="s">
        <v>124</v>
      </c>
      <c r="C107" s="5" t="s">
        <v>20</v>
      </c>
      <c r="D107" s="15" t="s">
        <v>228</v>
      </c>
      <c r="E107" s="6" t="s">
        <v>21</v>
      </c>
      <c r="F107" s="7"/>
    </row>
    <row r="108" spans="1:6" ht="30" customHeight="1" x14ac:dyDescent="0.35">
      <c r="A108" s="8">
        <v>22</v>
      </c>
      <c r="B108" s="9" t="s">
        <v>125</v>
      </c>
      <c r="C108" s="5" t="s">
        <v>20</v>
      </c>
      <c r="D108" s="15" t="s">
        <v>228</v>
      </c>
      <c r="E108" s="10" t="s">
        <v>21</v>
      </c>
      <c r="F108" s="11"/>
    </row>
    <row r="109" spans="1:6" ht="30" customHeight="1" x14ac:dyDescent="0.35">
      <c r="A109" s="2">
        <v>23</v>
      </c>
      <c r="B109" s="3" t="s">
        <v>126</v>
      </c>
      <c r="C109" s="5" t="s">
        <v>20</v>
      </c>
      <c r="D109" s="15" t="s">
        <v>234</v>
      </c>
      <c r="E109" s="6" t="s">
        <v>21</v>
      </c>
      <c r="F109" s="7"/>
    </row>
    <row r="110" spans="1:6" ht="30" customHeight="1" x14ac:dyDescent="0.35">
      <c r="A110" s="8">
        <v>24</v>
      </c>
      <c r="B110" s="9" t="s">
        <v>127</v>
      </c>
      <c r="C110" s="5" t="s">
        <v>20</v>
      </c>
      <c r="D110" s="15" t="s">
        <v>225</v>
      </c>
      <c r="E110" s="10" t="s">
        <v>21</v>
      </c>
      <c r="F110" s="11"/>
    </row>
    <row r="111" spans="1:6" ht="30" customHeight="1" x14ac:dyDescent="0.35">
      <c r="A111" s="2">
        <v>25</v>
      </c>
      <c r="B111" s="3" t="s">
        <v>128</v>
      </c>
      <c r="C111" s="5" t="s">
        <v>20</v>
      </c>
      <c r="D111" s="15" t="s">
        <v>228</v>
      </c>
      <c r="E111" s="6" t="s">
        <v>21</v>
      </c>
      <c r="F111" s="7"/>
    </row>
    <row r="112" spans="1:6" ht="30" customHeight="1" x14ac:dyDescent="0.35">
      <c r="A112" s="8">
        <v>26</v>
      </c>
      <c r="B112" s="9" t="s">
        <v>129</v>
      </c>
      <c r="C112" s="5" t="s">
        <v>20</v>
      </c>
      <c r="D112" s="15" t="s">
        <v>231</v>
      </c>
      <c r="E112" s="10" t="s">
        <v>21</v>
      </c>
      <c r="F112" s="11"/>
    </row>
    <row r="113" spans="1:6" ht="30" customHeight="1" x14ac:dyDescent="0.35">
      <c r="A113" s="2">
        <v>27</v>
      </c>
      <c r="B113" s="3" t="s">
        <v>130</v>
      </c>
      <c r="C113" s="5" t="s">
        <v>20</v>
      </c>
      <c r="D113" s="15" t="s">
        <v>237</v>
      </c>
      <c r="E113" s="6" t="s">
        <v>21</v>
      </c>
      <c r="F113" s="7"/>
    </row>
    <row r="114" spans="1:6" ht="30" customHeight="1" x14ac:dyDescent="0.35">
      <c r="A114" s="8">
        <v>28</v>
      </c>
      <c r="B114" s="9" t="s">
        <v>131</v>
      </c>
      <c r="C114" s="5" t="s">
        <v>20</v>
      </c>
      <c r="D114" s="15" t="s">
        <v>228</v>
      </c>
      <c r="E114" s="10" t="s">
        <v>21</v>
      </c>
      <c r="F114" s="11"/>
    </row>
    <row r="115" spans="1:6" ht="30" customHeight="1" x14ac:dyDescent="0.35">
      <c r="A115" s="2">
        <v>29</v>
      </c>
      <c r="B115" s="3" t="s">
        <v>132</v>
      </c>
      <c r="C115" s="5" t="s">
        <v>20</v>
      </c>
      <c r="D115" s="15" t="s">
        <v>234</v>
      </c>
      <c r="E115" s="6" t="s">
        <v>21</v>
      </c>
      <c r="F115" s="7"/>
    </row>
    <row r="116" spans="1:6" ht="30" customHeight="1" x14ac:dyDescent="0.35">
      <c r="A116" s="8">
        <v>30</v>
      </c>
      <c r="B116" s="9" t="s">
        <v>133</v>
      </c>
      <c r="C116" s="5" t="s">
        <v>20</v>
      </c>
      <c r="D116" s="15" t="s">
        <v>231</v>
      </c>
      <c r="E116" s="10" t="s">
        <v>21</v>
      </c>
      <c r="F116" s="11"/>
    </row>
    <row r="117" spans="1:6" ht="30" customHeight="1" x14ac:dyDescent="0.35">
      <c r="A117" s="2">
        <v>31</v>
      </c>
      <c r="B117" s="3" t="s">
        <v>134</v>
      </c>
      <c r="C117" s="5" t="s">
        <v>20</v>
      </c>
      <c r="D117" s="15" t="s">
        <v>228</v>
      </c>
      <c r="E117" s="6" t="s">
        <v>21</v>
      </c>
      <c r="F117" s="7"/>
    </row>
    <row r="118" spans="1:6" ht="30" customHeight="1" x14ac:dyDescent="0.35">
      <c r="A118" s="8">
        <v>32</v>
      </c>
      <c r="B118" s="9" t="s">
        <v>135</v>
      </c>
      <c r="C118" s="5" t="s">
        <v>20</v>
      </c>
      <c r="D118" s="15" t="s">
        <v>237</v>
      </c>
      <c r="E118" s="10" t="s">
        <v>21</v>
      </c>
      <c r="F118" s="11"/>
    </row>
    <row r="119" spans="1:6" ht="30" customHeight="1" x14ac:dyDescent="0.35">
      <c r="A119" s="2">
        <v>33</v>
      </c>
      <c r="B119" s="3" t="s">
        <v>136</v>
      </c>
      <c r="C119" s="5" t="s">
        <v>20</v>
      </c>
      <c r="D119" s="15" t="s">
        <v>225</v>
      </c>
      <c r="E119" s="6" t="s">
        <v>21</v>
      </c>
      <c r="F119" s="7"/>
    </row>
    <row r="120" spans="1:6" ht="30" customHeight="1" x14ac:dyDescent="0.35">
      <c r="A120" s="8">
        <v>34</v>
      </c>
      <c r="B120" s="9" t="s">
        <v>137</v>
      </c>
      <c r="C120" s="5" t="s">
        <v>20</v>
      </c>
      <c r="D120" s="15" t="s">
        <v>225</v>
      </c>
      <c r="E120" s="10" t="s">
        <v>21</v>
      </c>
      <c r="F120" s="11"/>
    </row>
    <row r="121" spans="1:6" ht="30" customHeight="1" x14ac:dyDescent="0.35">
      <c r="A121" s="2">
        <v>35</v>
      </c>
      <c r="B121" s="3" t="s">
        <v>138</v>
      </c>
      <c r="C121" s="5" t="s">
        <v>20</v>
      </c>
      <c r="D121" s="15" t="s">
        <v>228</v>
      </c>
      <c r="E121" s="6" t="s">
        <v>21</v>
      </c>
      <c r="F121" s="7"/>
    </row>
    <row r="122" spans="1:6" ht="30" customHeight="1" x14ac:dyDescent="0.35">
      <c r="A122" s="8">
        <v>36</v>
      </c>
      <c r="B122" s="9" t="s">
        <v>139</v>
      </c>
      <c r="C122" s="5" t="s">
        <v>20</v>
      </c>
      <c r="D122" s="15" t="s">
        <v>234</v>
      </c>
      <c r="E122" s="10" t="s">
        <v>21</v>
      </c>
      <c r="F122" s="11"/>
    </row>
    <row r="123" spans="1:6" ht="30" customHeight="1" x14ac:dyDescent="0.35">
      <c r="A123" s="2">
        <v>37</v>
      </c>
      <c r="B123" s="3" t="s">
        <v>140</v>
      </c>
      <c r="C123" s="5" t="s">
        <v>20</v>
      </c>
      <c r="D123" s="15" t="s">
        <v>231</v>
      </c>
      <c r="E123" s="6" t="s">
        <v>21</v>
      </c>
      <c r="F123" s="7"/>
    </row>
    <row r="124" spans="1:6" ht="30" customHeight="1" x14ac:dyDescent="0.35">
      <c r="A124" s="8">
        <v>38</v>
      </c>
      <c r="B124" s="9" t="s">
        <v>141</v>
      </c>
      <c r="C124" s="5" t="s">
        <v>20</v>
      </c>
      <c r="D124" s="15" t="s">
        <v>228</v>
      </c>
      <c r="E124" s="10" t="s">
        <v>21</v>
      </c>
      <c r="F124" s="11"/>
    </row>
    <row r="125" spans="1:6" ht="30" customHeight="1" x14ac:dyDescent="0.35">
      <c r="A125" s="2">
        <v>39</v>
      </c>
      <c r="B125" s="3" t="s">
        <v>142</v>
      </c>
      <c r="C125" s="5" t="s">
        <v>20</v>
      </c>
      <c r="D125" s="15" t="s">
        <v>237</v>
      </c>
      <c r="E125" s="6" t="s">
        <v>21</v>
      </c>
      <c r="F125" s="7"/>
    </row>
    <row r="126" spans="1:6" ht="30" customHeight="1" x14ac:dyDescent="0.35">
      <c r="A126" s="8">
        <v>40</v>
      </c>
      <c r="B126" s="9" t="s">
        <v>143</v>
      </c>
      <c r="C126" s="5" t="s">
        <v>20</v>
      </c>
      <c r="D126" s="15" t="s">
        <v>225</v>
      </c>
      <c r="E126" s="10" t="s">
        <v>21</v>
      </c>
      <c r="F126" s="11"/>
    </row>
    <row r="127" spans="1:6" ht="30" customHeight="1" x14ac:dyDescent="0.35">
      <c r="A127" s="2">
        <v>41</v>
      </c>
      <c r="B127" s="3" t="s">
        <v>144</v>
      </c>
      <c r="C127" s="5" t="s">
        <v>20</v>
      </c>
      <c r="D127" s="15" t="s">
        <v>234</v>
      </c>
      <c r="E127" s="6" t="s">
        <v>21</v>
      </c>
      <c r="F127" s="7"/>
    </row>
    <row r="128" spans="1:6" ht="30" customHeight="1" x14ac:dyDescent="0.35">
      <c r="A128" s="8">
        <v>42</v>
      </c>
      <c r="B128" s="9" t="s">
        <v>145</v>
      </c>
      <c r="C128" s="5" t="s">
        <v>20</v>
      </c>
      <c r="D128" s="15" t="s">
        <v>225</v>
      </c>
      <c r="E128" s="10" t="s">
        <v>21</v>
      </c>
      <c r="F128" s="11"/>
    </row>
    <row r="129" spans="1:6" ht="30" customHeight="1" x14ac:dyDescent="0.35">
      <c r="A129" s="2">
        <v>43</v>
      </c>
      <c r="B129" s="3" t="s">
        <v>146</v>
      </c>
      <c r="C129" s="5" t="s">
        <v>20</v>
      </c>
      <c r="D129" s="15" t="s">
        <v>225</v>
      </c>
      <c r="E129" s="6" t="s">
        <v>21</v>
      </c>
      <c r="F129" s="7"/>
    </row>
    <row r="130" spans="1:6" ht="30" customHeight="1" x14ac:dyDescent="0.35">
      <c r="A130" s="8">
        <v>44</v>
      </c>
      <c r="B130" s="9" t="s">
        <v>147</v>
      </c>
      <c r="C130" s="5" t="s">
        <v>20</v>
      </c>
      <c r="D130" s="15" t="s">
        <v>237</v>
      </c>
      <c r="E130" s="10" t="s">
        <v>21</v>
      </c>
      <c r="F130" s="11"/>
    </row>
    <row r="131" spans="1:6" ht="30" customHeight="1" x14ac:dyDescent="0.35">
      <c r="A131" s="2">
        <v>45</v>
      </c>
      <c r="B131" s="3" t="s">
        <v>148</v>
      </c>
      <c r="C131" s="5" t="s">
        <v>20</v>
      </c>
      <c r="D131" s="15" t="s">
        <v>231</v>
      </c>
      <c r="E131" s="6" t="s">
        <v>21</v>
      </c>
      <c r="F131" s="7"/>
    </row>
    <row r="132" spans="1:6" ht="30" customHeight="1" x14ac:dyDescent="0.35">
      <c r="A132" s="8">
        <v>46</v>
      </c>
      <c r="B132" s="9" t="s">
        <v>149</v>
      </c>
      <c r="C132" s="5" t="s">
        <v>20</v>
      </c>
      <c r="D132" s="15" t="s">
        <v>225</v>
      </c>
      <c r="E132" s="10" t="s">
        <v>21</v>
      </c>
      <c r="F132" s="11"/>
    </row>
    <row r="133" spans="1:6" ht="30" customHeight="1" x14ac:dyDescent="0.35">
      <c r="A133" s="2">
        <v>47</v>
      </c>
      <c r="B133" s="3" t="s">
        <v>150</v>
      </c>
      <c r="C133" s="5" t="s">
        <v>20</v>
      </c>
      <c r="D133" s="15" t="s">
        <v>237</v>
      </c>
      <c r="E133" s="6" t="s">
        <v>21</v>
      </c>
      <c r="F133" s="7"/>
    </row>
    <row r="134" spans="1:6" ht="30" customHeight="1" x14ac:dyDescent="0.35">
      <c r="A134" s="8">
        <v>48</v>
      </c>
      <c r="B134" s="9" t="s">
        <v>151</v>
      </c>
      <c r="C134" s="5" t="s">
        <v>20</v>
      </c>
      <c r="D134" s="15" t="s">
        <v>228</v>
      </c>
      <c r="E134" s="10" t="s">
        <v>21</v>
      </c>
      <c r="F134" s="11"/>
    </row>
    <row r="135" spans="1:6" ht="30" customHeight="1" x14ac:dyDescent="0.35">
      <c r="A135" s="2">
        <v>49</v>
      </c>
      <c r="B135" s="3" t="s">
        <v>152</v>
      </c>
      <c r="C135" s="5" t="s">
        <v>20</v>
      </c>
      <c r="D135" s="15" t="s">
        <v>237</v>
      </c>
      <c r="E135" s="6" t="s">
        <v>21</v>
      </c>
      <c r="F135" s="7"/>
    </row>
    <row r="136" spans="1:6" ht="30" customHeight="1" x14ac:dyDescent="0.35">
      <c r="A136" s="8">
        <v>50</v>
      </c>
      <c r="B136" s="9" t="s">
        <v>153</v>
      </c>
      <c r="C136" s="5" t="s">
        <v>20</v>
      </c>
      <c r="D136" s="15" t="s">
        <v>237</v>
      </c>
      <c r="E136" s="10" t="s">
        <v>21</v>
      </c>
      <c r="F136" s="11"/>
    </row>
    <row r="137" spans="1:6" ht="30" customHeight="1" x14ac:dyDescent="0.35">
      <c r="A137" s="2">
        <v>51</v>
      </c>
      <c r="B137" s="3" t="s">
        <v>85</v>
      </c>
      <c r="C137" s="5" t="s">
        <v>20</v>
      </c>
      <c r="D137" s="15" t="s">
        <v>234</v>
      </c>
      <c r="E137" s="6" t="s">
        <v>21</v>
      </c>
      <c r="F137" s="7"/>
    </row>
    <row r="138" spans="1:6" ht="30" customHeight="1" x14ac:dyDescent="0.35">
      <c r="A138" s="8">
        <v>52</v>
      </c>
      <c r="B138" s="9" t="s">
        <v>154</v>
      </c>
      <c r="C138" s="5" t="s">
        <v>20</v>
      </c>
      <c r="D138" s="15" t="s">
        <v>234</v>
      </c>
      <c r="E138" s="10" t="s">
        <v>21</v>
      </c>
      <c r="F138" s="11"/>
    </row>
    <row r="139" spans="1:6" ht="30" customHeight="1" x14ac:dyDescent="0.35">
      <c r="A139" s="2">
        <v>53</v>
      </c>
      <c r="B139" s="3" t="s">
        <v>155</v>
      </c>
      <c r="C139" s="5" t="s">
        <v>20</v>
      </c>
      <c r="D139" s="15" t="s">
        <v>234</v>
      </c>
      <c r="E139" s="6" t="s">
        <v>21</v>
      </c>
      <c r="F139" s="7"/>
    </row>
    <row r="140" spans="1:6" ht="30" customHeight="1" x14ac:dyDescent="0.35">
      <c r="A140" s="8">
        <v>54</v>
      </c>
      <c r="B140" s="9" t="s">
        <v>156</v>
      </c>
      <c r="C140" s="5" t="s">
        <v>20</v>
      </c>
      <c r="D140" s="15" t="s">
        <v>225</v>
      </c>
      <c r="E140" s="10" t="s">
        <v>21</v>
      </c>
      <c r="F140" s="11"/>
    </row>
    <row r="141" spans="1:6" ht="30" customHeight="1" x14ac:dyDescent="0.35">
      <c r="A141" s="2">
        <v>55</v>
      </c>
      <c r="B141" s="3" t="s">
        <v>157</v>
      </c>
      <c r="C141" s="5" t="s">
        <v>20</v>
      </c>
      <c r="D141" s="15" t="s">
        <v>225</v>
      </c>
      <c r="E141" s="6" t="s">
        <v>21</v>
      </c>
      <c r="F141" s="7"/>
    </row>
    <row r="142" spans="1:6" ht="30" customHeight="1" x14ac:dyDescent="0.35">
      <c r="A142" s="8">
        <v>56</v>
      </c>
      <c r="B142" s="9" t="s">
        <v>158</v>
      </c>
      <c r="C142" s="5" t="s">
        <v>20</v>
      </c>
      <c r="D142" s="15" t="s">
        <v>231</v>
      </c>
      <c r="E142" s="10" t="s">
        <v>21</v>
      </c>
      <c r="F142" s="11"/>
    </row>
    <row r="143" spans="1:6" ht="30" customHeight="1" x14ac:dyDescent="0.35">
      <c r="A143" s="2">
        <v>57</v>
      </c>
      <c r="B143" s="3" t="s">
        <v>159</v>
      </c>
      <c r="C143" s="5" t="s">
        <v>20</v>
      </c>
      <c r="D143" s="15" t="s">
        <v>237</v>
      </c>
      <c r="E143" s="6" t="s">
        <v>21</v>
      </c>
      <c r="F143" s="7"/>
    </row>
    <row r="144" spans="1:6" ht="30" customHeight="1" x14ac:dyDescent="0.35">
      <c r="A144" s="8">
        <v>58</v>
      </c>
      <c r="B144" s="9" t="s">
        <v>160</v>
      </c>
      <c r="C144" s="5" t="s">
        <v>20</v>
      </c>
      <c r="D144" s="15" t="s">
        <v>225</v>
      </c>
      <c r="E144" s="10" t="s">
        <v>21</v>
      </c>
      <c r="F144" s="11"/>
    </row>
    <row r="145" spans="1:6" ht="30" customHeight="1" x14ac:dyDescent="0.35">
      <c r="A145" s="2">
        <v>59</v>
      </c>
      <c r="B145" s="3" t="s">
        <v>161</v>
      </c>
      <c r="C145" s="5" t="s">
        <v>20</v>
      </c>
      <c r="D145" s="15" t="s">
        <v>237</v>
      </c>
      <c r="E145" s="6" t="s">
        <v>21</v>
      </c>
      <c r="F145" s="7"/>
    </row>
    <row r="146" spans="1:6" ht="30" customHeight="1" x14ac:dyDescent="0.35">
      <c r="A146" s="8">
        <v>60</v>
      </c>
      <c r="B146" s="9" t="s">
        <v>162</v>
      </c>
      <c r="C146" s="5" t="s">
        <v>20</v>
      </c>
      <c r="D146" s="15" t="s">
        <v>234</v>
      </c>
      <c r="E146" s="10" t="s">
        <v>21</v>
      </c>
      <c r="F146" s="11"/>
    </row>
    <row r="147" spans="1:6" ht="30" customHeight="1" x14ac:dyDescent="0.35">
      <c r="A147" s="2">
        <v>61</v>
      </c>
      <c r="B147" s="3" t="s">
        <v>163</v>
      </c>
      <c r="C147" s="5" t="s">
        <v>20</v>
      </c>
      <c r="D147" s="15" t="s">
        <v>228</v>
      </c>
      <c r="E147" s="6" t="s">
        <v>21</v>
      </c>
      <c r="F147" s="7"/>
    </row>
    <row r="148" spans="1:6" ht="30" customHeight="1" x14ac:dyDescent="0.35">
      <c r="A148" s="8">
        <v>62</v>
      </c>
      <c r="B148" s="9" t="s">
        <v>164</v>
      </c>
      <c r="C148" s="5" t="s">
        <v>20</v>
      </c>
      <c r="D148" s="15" t="s">
        <v>228</v>
      </c>
      <c r="E148" s="10" t="s">
        <v>21</v>
      </c>
      <c r="F148" s="11"/>
    </row>
    <row r="149" spans="1:6" ht="30" customHeight="1" x14ac:dyDescent="0.35">
      <c r="A149" s="2">
        <v>63</v>
      </c>
      <c r="B149" s="3" t="s">
        <v>165</v>
      </c>
      <c r="C149" s="5" t="s">
        <v>20</v>
      </c>
      <c r="D149" s="15" t="s">
        <v>225</v>
      </c>
      <c r="E149" s="6" t="s">
        <v>21</v>
      </c>
      <c r="F149" s="7"/>
    </row>
    <row r="150" spans="1:6" ht="30" customHeight="1" x14ac:dyDescent="0.35">
      <c r="A150" s="8">
        <v>64</v>
      </c>
      <c r="B150" s="9" t="s">
        <v>166</v>
      </c>
      <c r="C150" s="5" t="s">
        <v>20</v>
      </c>
      <c r="D150" s="15" t="s">
        <v>225</v>
      </c>
      <c r="E150" s="10" t="s">
        <v>21</v>
      </c>
      <c r="F150" s="11"/>
    </row>
    <row r="151" spans="1:6" ht="30" customHeight="1" x14ac:dyDescent="0.35">
      <c r="A151" s="2">
        <v>65</v>
      </c>
      <c r="B151" s="3" t="s">
        <v>167</v>
      </c>
      <c r="C151" s="5" t="s">
        <v>20</v>
      </c>
      <c r="D151" s="15" t="s">
        <v>231</v>
      </c>
      <c r="E151" s="6" t="s">
        <v>21</v>
      </c>
      <c r="F151" s="7"/>
    </row>
    <row r="152" spans="1:6" ht="30" customHeight="1" x14ac:dyDescent="0.35">
      <c r="A152" s="8">
        <v>66</v>
      </c>
      <c r="B152" s="9" t="s">
        <v>168</v>
      </c>
      <c r="C152" s="5" t="s">
        <v>20</v>
      </c>
      <c r="D152" s="15" t="s">
        <v>237</v>
      </c>
      <c r="E152" s="10" t="s">
        <v>21</v>
      </c>
      <c r="F152" s="11"/>
    </row>
    <row r="153" spans="1:6" ht="30" customHeight="1" x14ac:dyDescent="0.35">
      <c r="A153" s="2">
        <v>67</v>
      </c>
      <c r="B153" s="3" t="s">
        <v>169</v>
      </c>
      <c r="C153" s="5" t="s">
        <v>20</v>
      </c>
      <c r="D153" s="15" t="s">
        <v>225</v>
      </c>
      <c r="E153" s="6" t="s">
        <v>21</v>
      </c>
      <c r="F153" s="7"/>
    </row>
    <row r="154" spans="1:6" ht="30" customHeight="1" x14ac:dyDescent="0.35">
      <c r="A154" s="8">
        <v>68</v>
      </c>
      <c r="B154" s="9" t="s">
        <v>170</v>
      </c>
      <c r="C154" s="5" t="s">
        <v>20</v>
      </c>
      <c r="D154" s="15" t="s">
        <v>225</v>
      </c>
      <c r="E154" s="10" t="s">
        <v>21</v>
      </c>
      <c r="F154" s="11"/>
    </row>
    <row r="155" spans="1:6" ht="30" customHeight="1" x14ac:dyDescent="0.35">
      <c r="A155" s="2">
        <v>69</v>
      </c>
      <c r="B155" s="3" t="s">
        <v>171</v>
      </c>
      <c r="C155" s="5" t="s">
        <v>20</v>
      </c>
      <c r="D155" s="15" t="s">
        <v>225</v>
      </c>
      <c r="E155" s="6" t="s">
        <v>21</v>
      </c>
      <c r="F155" s="7"/>
    </row>
    <row r="156" spans="1:6" ht="30" customHeight="1" x14ac:dyDescent="0.35">
      <c r="A156" s="8">
        <v>70</v>
      </c>
      <c r="B156" s="9" t="s">
        <v>172</v>
      </c>
      <c r="C156" s="5" t="s">
        <v>20</v>
      </c>
      <c r="D156" s="15" t="s">
        <v>234</v>
      </c>
      <c r="E156" s="10" t="s">
        <v>21</v>
      </c>
      <c r="F156" s="11"/>
    </row>
    <row r="157" spans="1:6" ht="30" customHeight="1" x14ac:dyDescent="0.35">
      <c r="A157" s="2">
        <v>71</v>
      </c>
      <c r="B157" s="3" t="s">
        <v>173</v>
      </c>
      <c r="C157" s="5" t="s">
        <v>20</v>
      </c>
      <c r="D157" s="15" t="s">
        <v>234</v>
      </c>
      <c r="E157" s="6" t="s">
        <v>21</v>
      </c>
      <c r="F157" s="7"/>
    </row>
    <row r="158" spans="1:6" ht="30" customHeight="1" x14ac:dyDescent="0.35">
      <c r="A158" s="8">
        <v>72</v>
      </c>
      <c r="B158" s="9" t="s">
        <v>174</v>
      </c>
      <c r="C158" s="5" t="s">
        <v>20</v>
      </c>
      <c r="D158" s="15" t="s">
        <v>234</v>
      </c>
      <c r="E158" s="10" t="s">
        <v>21</v>
      </c>
      <c r="F158" s="11"/>
    </row>
    <row r="159" spans="1:6" ht="30" customHeight="1" x14ac:dyDescent="0.35">
      <c r="A159" s="2">
        <v>73</v>
      </c>
      <c r="B159" s="3" t="s">
        <v>175</v>
      </c>
      <c r="C159" s="5" t="s">
        <v>20</v>
      </c>
      <c r="D159" s="15" t="s">
        <v>231</v>
      </c>
      <c r="E159" s="6" t="s">
        <v>21</v>
      </c>
      <c r="F159" s="7"/>
    </row>
    <row r="160" spans="1:6" ht="30" customHeight="1" x14ac:dyDescent="0.35">
      <c r="A160" s="8">
        <v>74</v>
      </c>
      <c r="B160" s="9" t="s">
        <v>176</v>
      </c>
      <c r="C160" s="5" t="s">
        <v>20</v>
      </c>
      <c r="D160" s="15" t="s">
        <v>231</v>
      </c>
      <c r="E160" s="10" t="s">
        <v>21</v>
      </c>
      <c r="F160" s="11"/>
    </row>
    <row r="161" spans="1:6" ht="30" customHeight="1" x14ac:dyDescent="0.35">
      <c r="A161" s="2">
        <v>75</v>
      </c>
      <c r="B161" s="3" t="s">
        <v>177</v>
      </c>
      <c r="C161" s="5" t="s">
        <v>20</v>
      </c>
      <c r="D161" s="15" t="s">
        <v>231</v>
      </c>
      <c r="E161" s="6" t="s">
        <v>21</v>
      </c>
      <c r="F161" s="7"/>
    </row>
    <row r="162" spans="1:6" ht="30" customHeight="1" x14ac:dyDescent="0.35">
      <c r="A162" s="8">
        <v>76</v>
      </c>
      <c r="B162" s="9" t="s">
        <v>178</v>
      </c>
      <c r="C162" s="5" t="s">
        <v>20</v>
      </c>
      <c r="D162" s="15" t="s">
        <v>228</v>
      </c>
      <c r="E162" s="10" t="s">
        <v>21</v>
      </c>
      <c r="F162" s="11"/>
    </row>
    <row r="163" spans="1:6" ht="30" customHeight="1" x14ac:dyDescent="0.35">
      <c r="A163" s="2">
        <v>77</v>
      </c>
      <c r="B163" s="3" t="s">
        <v>179</v>
      </c>
      <c r="C163" s="5" t="s">
        <v>20</v>
      </c>
      <c r="D163" s="15" t="s">
        <v>234</v>
      </c>
      <c r="E163" s="6" t="s">
        <v>21</v>
      </c>
      <c r="F163" s="7"/>
    </row>
    <row r="164" spans="1:6" ht="30" customHeight="1" x14ac:dyDescent="0.35">
      <c r="A164" s="8">
        <v>78</v>
      </c>
      <c r="B164" s="9" t="s">
        <v>180</v>
      </c>
      <c r="C164" s="5" t="s">
        <v>20</v>
      </c>
      <c r="D164" s="15" t="s">
        <v>228</v>
      </c>
      <c r="E164" s="10" t="s">
        <v>21</v>
      </c>
      <c r="F164" s="11"/>
    </row>
    <row r="165" spans="1:6" ht="30" customHeight="1" x14ac:dyDescent="0.35">
      <c r="A165" s="2">
        <v>79</v>
      </c>
      <c r="B165" s="3" t="s">
        <v>181</v>
      </c>
      <c r="C165" s="5" t="s">
        <v>20</v>
      </c>
      <c r="D165" s="15" t="s">
        <v>234</v>
      </c>
      <c r="E165" s="6" t="s">
        <v>21</v>
      </c>
      <c r="F165" s="7"/>
    </row>
    <row r="166" spans="1:6" ht="30" customHeight="1" x14ac:dyDescent="0.35">
      <c r="A166" s="8">
        <v>80</v>
      </c>
      <c r="B166" s="9" t="s">
        <v>182</v>
      </c>
      <c r="C166" s="5" t="s">
        <v>20</v>
      </c>
      <c r="D166" s="15" t="s">
        <v>237</v>
      </c>
      <c r="E166" s="10" t="s">
        <v>21</v>
      </c>
      <c r="F166" s="11"/>
    </row>
    <row r="167" spans="1:6" ht="30" customHeight="1" x14ac:dyDescent="0.35">
      <c r="A167" s="2">
        <v>81</v>
      </c>
      <c r="B167" s="3" t="s">
        <v>154</v>
      </c>
      <c r="C167" s="5" t="s">
        <v>20</v>
      </c>
      <c r="D167" s="15" t="s">
        <v>234</v>
      </c>
      <c r="E167" s="6" t="s">
        <v>21</v>
      </c>
      <c r="F167" s="7"/>
    </row>
    <row r="168" spans="1:6" ht="30" customHeight="1" x14ac:dyDescent="0.35">
      <c r="A168" s="8">
        <v>82</v>
      </c>
      <c r="B168" s="9" t="s">
        <v>183</v>
      </c>
      <c r="C168" s="5" t="s">
        <v>20</v>
      </c>
      <c r="D168" s="15" t="s">
        <v>228</v>
      </c>
      <c r="E168" s="10" t="s">
        <v>21</v>
      </c>
      <c r="F168" s="11"/>
    </row>
    <row r="169" spans="1:6" ht="30" customHeight="1" x14ac:dyDescent="0.35">
      <c r="A169" s="2">
        <v>83</v>
      </c>
      <c r="B169" s="3" t="s">
        <v>184</v>
      </c>
      <c r="C169" s="5" t="s">
        <v>20</v>
      </c>
      <c r="D169" s="15" t="s">
        <v>228</v>
      </c>
      <c r="E169" s="6" t="s">
        <v>21</v>
      </c>
      <c r="F169" s="7"/>
    </row>
    <row r="170" spans="1:6" ht="30" customHeight="1" x14ac:dyDescent="0.35">
      <c r="A170" s="8">
        <v>84</v>
      </c>
      <c r="B170" s="9" t="s">
        <v>185</v>
      </c>
      <c r="C170" s="5" t="s">
        <v>20</v>
      </c>
      <c r="D170" s="15" t="s">
        <v>234</v>
      </c>
      <c r="E170" s="10" t="s">
        <v>21</v>
      </c>
      <c r="F170" s="11"/>
    </row>
    <row r="171" spans="1:6" ht="30" customHeight="1" x14ac:dyDescent="0.35">
      <c r="A171" s="2">
        <v>85</v>
      </c>
      <c r="B171" s="3" t="s">
        <v>186</v>
      </c>
      <c r="C171" s="5" t="s">
        <v>20</v>
      </c>
      <c r="D171" s="15" t="s">
        <v>234</v>
      </c>
      <c r="E171" s="6" t="s">
        <v>21</v>
      </c>
      <c r="F171" s="7"/>
    </row>
    <row r="172" spans="1:6" ht="30" customHeight="1" x14ac:dyDescent="0.35">
      <c r="A172" s="8">
        <v>86</v>
      </c>
      <c r="B172" s="9" t="s">
        <v>187</v>
      </c>
      <c r="C172" s="5" t="s">
        <v>20</v>
      </c>
      <c r="D172" s="15" t="s">
        <v>237</v>
      </c>
      <c r="E172" s="10" t="s">
        <v>21</v>
      </c>
      <c r="F172" s="11"/>
    </row>
    <row r="173" spans="1:6" ht="30" customHeight="1" x14ac:dyDescent="0.35">
      <c r="A173" s="2">
        <v>87</v>
      </c>
      <c r="B173" s="3" t="s">
        <v>188</v>
      </c>
      <c r="C173" s="5" t="s">
        <v>20</v>
      </c>
      <c r="D173" s="15" t="s">
        <v>237</v>
      </c>
      <c r="E173" s="6" t="s">
        <v>21</v>
      </c>
      <c r="F173" s="7"/>
    </row>
    <row r="174" spans="1:6" ht="30" customHeight="1" x14ac:dyDescent="0.35">
      <c r="A174" s="8">
        <v>88</v>
      </c>
      <c r="B174" s="9" t="s">
        <v>189</v>
      </c>
      <c r="C174" s="5" t="s">
        <v>20</v>
      </c>
      <c r="D174" s="15" t="s">
        <v>225</v>
      </c>
      <c r="E174" s="10" t="s">
        <v>21</v>
      </c>
      <c r="F174" s="11"/>
    </row>
    <row r="175" spans="1:6" ht="30" customHeight="1" x14ac:dyDescent="0.35">
      <c r="A175" s="2">
        <v>89</v>
      </c>
      <c r="B175" s="3" t="s">
        <v>190</v>
      </c>
      <c r="C175" s="5" t="s">
        <v>20</v>
      </c>
      <c r="D175" s="15" t="s">
        <v>234</v>
      </c>
      <c r="E175" s="6" t="s">
        <v>21</v>
      </c>
      <c r="F175" s="7"/>
    </row>
    <row r="176" spans="1:6" ht="30" customHeight="1" x14ac:dyDescent="0.35">
      <c r="A176" s="8">
        <v>90</v>
      </c>
      <c r="B176" s="9" t="s">
        <v>191</v>
      </c>
      <c r="C176" s="5" t="s">
        <v>20</v>
      </c>
      <c r="D176" s="15" t="s">
        <v>234</v>
      </c>
      <c r="E176" s="10" t="s">
        <v>21</v>
      </c>
      <c r="F176" s="11"/>
    </row>
  </sheetData>
  <mergeCells count="2">
    <mergeCell ref="A85:F85"/>
    <mergeCell ref="A1:F1"/>
  </mergeCells>
  <dataValidations count="3">
    <dataValidation type="list" allowBlank="1" showErrorMessage="1" errorTitle="Label Tidak Valid" error="Pilih: positif, negatif, atau netral" sqref="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xr:uid="{00000000-0002-0000-0200-000000000000}">
      <formula1>"positif,negatif,netral"</formula1>
    </dataValidation>
    <dataValidation type="list" allowBlank="1"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xr:uid="{00000000-0002-0000-0200-000001000000}">
      <formula1>"✅ Yakin,❓ Ragu"</formula1>
    </dataValidation>
    <dataValidation type="list" allowBlank="1" showErrorMessage="1" errorTitle="Label Tidak Valid" error="Pilih: keluhan, permintaan, saran, apresiasi, atau darurat" sqref="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xr:uid="{00000000-0002-0000-0200-000002000000}">
      <formula1>"keluhan,permintaan,saran,apresiasi,darurat"</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88"/>
  <sheetViews>
    <sheetView showGridLines="0" topLeftCell="A185" workbookViewId="0">
      <selection sqref="A1:F1"/>
    </sheetView>
  </sheetViews>
  <sheetFormatPr defaultRowHeight="14.5" x14ac:dyDescent="0.35"/>
  <cols>
    <col min="1" max="1" width="6" customWidth="1"/>
    <col min="2" max="2" width="52" customWidth="1"/>
    <col min="3" max="4" width="18" customWidth="1"/>
    <col min="5" max="5" width="14" customWidth="1"/>
    <col min="6" max="6" width="28" customWidth="1"/>
  </cols>
  <sheetData>
    <row r="1" spans="1:6" ht="30" customHeight="1" x14ac:dyDescent="0.35">
      <c r="A1" s="48" t="s">
        <v>194</v>
      </c>
      <c r="B1" s="29"/>
      <c r="C1" s="29"/>
      <c r="D1" s="29"/>
      <c r="E1" s="29"/>
      <c r="F1" s="29"/>
    </row>
    <row r="2" spans="1:6" x14ac:dyDescent="0.35">
      <c r="A2" s="33" t="s">
        <v>195</v>
      </c>
      <c r="B2" s="29"/>
      <c r="C2" s="29"/>
      <c r="D2" s="29"/>
      <c r="E2" s="29"/>
      <c r="F2" s="29"/>
    </row>
    <row r="4" spans="1:6" ht="24" customHeight="1" x14ac:dyDescent="0.35">
      <c r="A4" s="43" t="s">
        <v>196</v>
      </c>
      <c r="B4" s="29"/>
      <c r="C4" s="29"/>
      <c r="D4" s="29"/>
      <c r="E4" s="29"/>
      <c r="F4" s="29"/>
    </row>
    <row r="5" spans="1:6" ht="20" customHeight="1" x14ac:dyDescent="0.35">
      <c r="A5" s="44" t="s">
        <v>197</v>
      </c>
      <c r="B5" s="45"/>
      <c r="C5" s="46"/>
      <c r="D5" s="4">
        <f>COUNTA('🅰️ ANOTATOR A'!C3:C83)</f>
        <v>81</v>
      </c>
    </row>
    <row r="6" spans="1:6" ht="20" customHeight="1" x14ac:dyDescent="0.35">
      <c r="A6" s="44" t="s">
        <v>198</v>
      </c>
      <c r="B6" s="45"/>
      <c r="C6" s="46"/>
      <c r="D6" s="4">
        <f>COUNTIF(E14:E94,"✅ Sama")</f>
        <v>64</v>
      </c>
    </row>
    <row r="7" spans="1:6" ht="20" customHeight="1" x14ac:dyDescent="0.35">
      <c r="A7" s="44" t="s">
        <v>199</v>
      </c>
      <c r="B7" s="45"/>
      <c r="C7" s="46"/>
      <c r="D7" s="4">
        <f>COUNTIF(E14:E94,"❌ Beda")</f>
        <v>17</v>
      </c>
    </row>
    <row r="8" spans="1:6" ht="20" customHeight="1" x14ac:dyDescent="0.35">
      <c r="A8" s="44" t="s">
        <v>200</v>
      </c>
      <c r="B8" s="45"/>
      <c r="C8" s="46"/>
      <c r="D8" s="4" t="str">
        <f>IF(C5&gt;0,TEXT(C6/C5*100,"0.0")&amp;"%","—")</f>
        <v>—</v>
      </c>
    </row>
    <row r="9" spans="1:6" ht="22" customHeight="1" x14ac:dyDescent="0.35">
      <c r="A9" s="49" t="s">
        <v>201</v>
      </c>
      <c r="B9" s="29"/>
      <c r="C9" s="29"/>
      <c r="D9" s="29"/>
      <c r="E9" s="29"/>
      <c r="F9" s="29"/>
    </row>
    <row r="10" spans="1:6" ht="20" customHeight="1" x14ac:dyDescent="0.35">
      <c r="A10" s="47" t="s">
        <v>202</v>
      </c>
      <c r="B10" s="29"/>
      <c r="C10" s="29"/>
      <c r="D10" s="29"/>
      <c r="E10" s="29"/>
      <c r="F10" s="29"/>
    </row>
    <row r="12" spans="1:6" ht="24" customHeight="1" x14ac:dyDescent="0.35">
      <c r="A12" s="43" t="s">
        <v>203</v>
      </c>
      <c r="B12" s="29"/>
      <c r="C12" s="29"/>
      <c r="D12" s="29"/>
      <c r="E12" s="29"/>
      <c r="F12" s="29"/>
    </row>
    <row r="13" spans="1:6" ht="22" customHeight="1" x14ac:dyDescent="0.35">
      <c r="A13" s="1" t="s">
        <v>13</v>
      </c>
      <c r="B13" s="1" t="s">
        <v>204</v>
      </c>
      <c r="C13" s="1" t="s">
        <v>205</v>
      </c>
      <c r="D13" s="1" t="s">
        <v>206</v>
      </c>
      <c r="E13" s="1" t="s">
        <v>207</v>
      </c>
      <c r="F13" s="1" t="s">
        <v>208</v>
      </c>
    </row>
    <row r="14" spans="1:6" ht="28" customHeight="1" x14ac:dyDescent="0.35">
      <c r="A14" s="16">
        <v>1</v>
      </c>
      <c r="B14" s="17" t="s">
        <v>19</v>
      </c>
      <c r="C14" s="4" t="str">
        <f>'🅰️ ANOTATOR A'!C3</f>
        <v>positif</v>
      </c>
      <c r="D14" s="18" t="str">
        <f>'🅱️ ANOTATOR B'!C3</f>
        <v>positif</v>
      </c>
      <c r="E14" s="2" t="str">
        <f t="shared" ref="E14:E45" si="0">IF(C14=D14,"✅ Sama","❌ Beda")</f>
        <v>✅ Sama</v>
      </c>
      <c r="F14" s="19" t="str">
        <f t="shared" ref="F14:F45" si="1">IF(C14&lt;&gt;D14,C14&amp;" vs "&amp;D14,"")</f>
        <v/>
      </c>
    </row>
    <row r="15" spans="1:6" ht="28" customHeight="1" x14ac:dyDescent="0.35">
      <c r="A15" s="20">
        <v>2</v>
      </c>
      <c r="B15" s="21" t="s">
        <v>22</v>
      </c>
      <c r="C15" s="4" t="str">
        <f>'🅰️ ANOTATOR A'!C4</f>
        <v>positif</v>
      </c>
      <c r="D15" s="18" t="str">
        <f>'🅱️ ANOTATOR B'!C4</f>
        <v>netral</v>
      </c>
      <c r="E15" s="8" t="str">
        <f t="shared" si="0"/>
        <v>❌ Beda</v>
      </c>
      <c r="F15" s="22" t="str">
        <f t="shared" si="1"/>
        <v>positif vs netral</v>
      </c>
    </row>
    <row r="16" spans="1:6" ht="28" customHeight="1" x14ac:dyDescent="0.35">
      <c r="A16" s="16">
        <v>3</v>
      </c>
      <c r="B16" s="17" t="s">
        <v>23</v>
      </c>
      <c r="C16" s="4" t="str">
        <f>'🅰️ ANOTATOR A'!C5</f>
        <v>positif</v>
      </c>
      <c r="D16" s="18" t="str">
        <f>'🅱️ ANOTATOR B'!C5</f>
        <v>netral</v>
      </c>
      <c r="E16" s="2" t="str">
        <f t="shared" si="0"/>
        <v>❌ Beda</v>
      </c>
      <c r="F16" s="19" t="str">
        <f t="shared" si="1"/>
        <v>positif vs netral</v>
      </c>
    </row>
    <row r="17" spans="1:6" ht="28" customHeight="1" x14ac:dyDescent="0.35">
      <c r="A17" s="20">
        <v>4</v>
      </c>
      <c r="B17" s="21" t="s">
        <v>24</v>
      </c>
      <c r="C17" s="4" t="str">
        <f>'🅰️ ANOTATOR A'!C6</f>
        <v>negatif</v>
      </c>
      <c r="D17" s="18" t="str">
        <f>'🅱️ ANOTATOR B'!C6</f>
        <v>negatif</v>
      </c>
      <c r="E17" s="8" t="str">
        <f t="shared" si="0"/>
        <v>✅ Sama</v>
      </c>
      <c r="F17" s="22" t="str">
        <f t="shared" si="1"/>
        <v/>
      </c>
    </row>
    <row r="18" spans="1:6" ht="28" customHeight="1" x14ac:dyDescent="0.35">
      <c r="A18" s="16">
        <v>5</v>
      </c>
      <c r="B18" s="17" t="s">
        <v>25</v>
      </c>
      <c r="C18" s="4" t="str">
        <f>'🅰️ ANOTATOR A'!C7</f>
        <v>negatif</v>
      </c>
      <c r="D18" s="18" t="str">
        <f>'🅱️ ANOTATOR B'!C7</f>
        <v>negatif</v>
      </c>
      <c r="E18" s="2" t="str">
        <f t="shared" si="0"/>
        <v>✅ Sama</v>
      </c>
      <c r="F18" s="19" t="str">
        <f t="shared" si="1"/>
        <v/>
      </c>
    </row>
    <row r="19" spans="1:6" ht="28" customHeight="1" x14ac:dyDescent="0.35">
      <c r="A19" s="20">
        <v>6</v>
      </c>
      <c r="B19" s="21" t="s">
        <v>26</v>
      </c>
      <c r="C19" s="4" t="str">
        <f>'🅰️ ANOTATOR A'!C8</f>
        <v>negatif</v>
      </c>
      <c r="D19" s="18" t="str">
        <f>'🅱️ ANOTATOR B'!C8</f>
        <v>netral</v>
      </c>
      <c r="E19" s="8" t="str">
        <f t="shared" si="0"/>
        <v>❌ Beda</v>
      </c>
      <c r="F19" s="22" t="str">
        <f t="shared" si="1"/>
        <v>negatif vs netral</v>
      </c>
    </row>
    <row r="20" spans="1:6" ht="28" customHeight="1" x14ac:dyDescent="0.35">
      <c r="A20" s="16">
        <v>7</v>
      </c>
      <c r="B20" s="17" t="s">
        <v>27</v>
      </c>
      <c r="C20" s="4" t="str">
        <f>'🅰️ ANOTATOR A'!C9</f>
        <v>positif</v>
      </c>
      <c r="D20" s="18" t="str">
        <f>'🅱️ ANOTATOR B'!C9</f>
        <v>positif</v>
      </c>
      <c r="E20" s="2" t="str">
        <f t="shared" si="0"/>
        <v>✅ Sama</v>
      </c>
      <c r="F20" s="19" t="str">
        <f t="shared" si="1"/>
        <v/>
      </c>
    </row>
    <row r="21" spans="1:6" ht="28" customHeight="1" x14ac:dyDescent="0.35">
      <c r="A21" s="20">
        <v>8</v>
      </c>
      <c r="B21" s="21" t="s">
        <v>28</v>
      </c>
      <c r="C21" s="4" t="str">
        <f>'🅰️ ANOTATOR A'!C10</f>
        <v>netral</v>
      </c>
      <c r="D21" s="18" t="str">
        <f>'🅱️ ANOTATOR B'!C10</f>
        <v>netral</v>
      </c>
      <c r="E21" s="8" t="str">
        <f t="shared" si="0"/>
        <v>✅ Sama</v>
      </c>
      <c r="F21" s="22" t="str">
        <f t="shared" si="1"/>
        <v/>
      </c>
    </row>
    <row r="22" spans="1:6" ht="28" customHeight="1" x14ac:dyDescent="0.35">
      <c r="A22" s="16">
        <v>9</v>
      </c>
      <c r="B22" s="17" t="s">
        <v>29</v>
      </c>
      <c r="C22" s="4" t="str">
        <f>'🅰️ ANOTATOR A'!C11</f>
        <v>netral</v>
      </c>
      <c r="D22" s="18" t="str">
        <f>'🅱️ ANOTATOR B'!C11</f>
        <v>netral</v>
      </c>
      <c r="E22" s="2" t="str">
        <f t="shared" si="0"/>
        <v>✅ Sama</v>
      </c>
      <c r="F22" s="19" t="str">
        <f t="shared" si="1"/>
        <v/>
      </c>
    </row>
    <row r="23" spans="1:6" ht="28" customHeight="1" x14ac:dyDescent="0.35">
      <c r="A23" s="20">
        <v>10</v>
      </c>
      <c r="B23" s="21" t="s">
        <v>30</v>
      </c>
      <c r="C23" s="4" t="str">
        <f>'🅰️ ANOTATOR A'!C12</f>
        <v>netral</v>
      </c>
      <c r="D23" s="18" t="str">
        <f>'🅱️ ANOTATOR B'!C12</f>
        <v>netral</v>
      </c>
      <c r="E23" s="8" t="str">
        <f t="shared" si="0"/>
        <v>✅ Sama</v>
      </c>
      <c r="F23" s="22" t="str">
        <f t="shared" si="1"/>
        <v/>
      </c>
    </row>
    <row r="24" spans="1:6" ht="28" customHeight="1" x14ac:dyDescent="0.35">
      <c r="A24" s="16">
        <v>11</v>
      </c>
      <c r="B24" s="17" t="s">
        <v>31</v>
      </c>
      <c r="C24" s="4" t="str">
        <f>'🅰️ ANOTATOR A'!C13</f>
        <v>negatif</v>
      </c>
      <c r="D24" s="18" t="str">
        <f>'🅱️ ANOTATOR B'!C13</f>
        <v>negatif</v>
      </c>
      <c r="E24" s="2" t="str">
        <f t="shared" si="0"/>
        <v>✅ Sama</v>
      </c>
      <c r="F24" s="19" t="str">
        <f t="shared" si="1"/>
        <v/>
      </c>
    </row>
    <row r="25" spans="1:6" ht="28" customHeight="1" x14ac:dyDescent="0.35">
      <c r="A25" s="20">
        <v>12</v>
      </c>
      <c r="B25" s="21" t="s">
        <v>32</v>
      </c>
      <c r="C25" s="4" t="str">
        <f>'🅰️ ANOTATOR A'!C14</f>
        <v>netral</v>
      </c>
      <c r="D25" s="18" t="str">
        <f>'🅱️ ANOTATOR B'!C14</f>
        <v>netral</v>
      </c>
      <c r="E25" s="8" t="str">
        <f t="shared" si="0"/>
        <v>✅ Sama</v>
      </c>
      <c r="F25" s="22" t="str">
        <f t="shared" si="1"/>
        <v/>
      </c>
    </row>
    <row r="26" spans="1:6" ht="28" customHeight="1" x14ac:dyDescent="0.35">
      <c r="A26" s="16">
        <v>13</v>
      </c>
      <c r="B26" s="17" t="s">
        <v>33</v>
      </c>
      <c r="C26" s="4" t="str">
        <f>'🅰️ ANOTATOR A'!C15</f>
        <v>positif</v>
      </c>
      <c r="D26" s="18" t="str">
        <f>'🅱️ ANOTATOR B'!C15</f>
        <v>positif</v>
      </c>
      <c r="E26" s="2" t="str">
        <f t="shared" si="0"/>
        <v>✅ Sama</v>
      </c>
      <c r="F26" s="19" t="str">
        <f t="shared" si="1"/>
        <v/>
      </c>
    </row>
    <row r="27" spans="1:6" ht="28" customHeight="1" x14ac:dyDescent="0.35">
      <c r="A27" s="20">
        <v>14</v>
      </c>
      <c r="B27" s="21" t="s">
        <v>34</v>
      </c>
      <c r="C27" s="4" t="str">
        <f>'🅰️ ANOTATOR A'!C16</f>
        <v>negatif</v>
      </c>
      <c r="D27" s="18" t="str">
        <f>'🅱️ ANOTATOR B'!C16</f>
        <v>netral</v>
      </c>
      <c r="E27" s="8" t="str">
        <f t="shared" si="0"/>
        <v>❌ Beda</v>
      </c>
      <c r="F27" s="22" t="str">
        <f t="shared" si="1"/>
        <v>negatif vs netral</v>
      </c>
    </row>
    <row r="28" spans="1:6" ht="28" customHeight="1" x14ac:dyDescent="0.35">
      <c r="A28" s="16">
        <v>15</v>
      </c>
      <c r="B28" s="17" t="s">
        <v>35</v>
      </c>
      <c r="C28" s="4" t="str">
        <f>'🅰️ ANOTATOR A'!C17</f>
        <v>negatif</v>
      </c>
      <c r="D28" s="18" t="str">
        <f>'🅱️ ANOTATOR B'!C17</f>
        <v>negatif</v>
      </c>
      <c r="E28" s="2" t="str">
        <f t="shared" si="0"/>
        <v>✅ Sama</v>
      </c>
      <c r="F28" s="19" t="str">
        <f t="shared" si="1"/>
        <v/>
      </c>
    </row>
    <row r="29" spans="1:6" ht="28" customHeight="1" x14ac:dyDescent="0.35">
      <c r="A29" s="20">
        <v>16</v>
      </c>
      <c r="B29" s="21" t="s">
        <v>36</v>
      </c>
      <c r="C29" s="4" t="str">
        <f>'🅰️ ANOTATOR A'!C18</f>
        <v>negatif</v>
      </c>
      <c r="D29" s="18" t="str">
        <f>'🅱️ ANOTATOR B'!C18</f>
        <v>negatif</v>
      </c>
      <c r="E29" s="8" t="str">
        <f t="shared" si="0"/>
        <v>✅ Sama</v>
      </c>
      <c r="F29" s="22" t="str">
        <f t="shared" si="1"/>
        <v/>
      </c>
    </row>
    <row r="30" spans="1:6" ht="28" customHeight="1" x14ac:dyDescent="0.35">
      <c r="A30" s="16">
        <v>17</v>
      </c>
      <c r="B30" s="17" t="s">
        <v>37</v>
      </c>
      <c r="C30" s="4" t="str">
        <f>'🅰️ ANOTATOR A'!C19</f>
        <v>positif</v>
      </c>
      <c r="D30" s="18" t="str">
        <f>'🅱️ ANOTATOR B'!C19</f>
        <v>positif</v>
      </c>
      <c r="E30" s="2" t="str">
        <f t="shared" si="0"/>
        <v>✅ Sama</v>
      </c>
      <c r="F30" s="19" t="str">
        <f t="shared" si="1"/>
        <v/>
      </c>
    </row>
    <row r="31" spans="1:6" ht="28" customHeight="1" x14ac:dyDescent="0.35">
      <c r="A31" s="20">
        <v>18</v>
      </c>
      <c r="B31" s="21" t="s">
        <v>38</v>
      </c>
      <c r="C31" s="4" t="str">
        <f>'🅰️ ANOTATOR A'!C20</f>
        <v>negatif</v>
      </c>
      <c r="D31" s="18" t="str">
        <f>'🅱️ ANOTATOR B'!C20</f>
        <v>negatif</v>
      </c>
      <c r="E31" s="8" t="str">
        <f t="shared" si="0"/>
        <v>✅ Sama</v>
      </c>
      <c r="F31" s="22" t="str">
        <f t="shared" si="1"/>
        <v/>
      </c>
    </row>
    <row r="32" spans="1:6" ht="28" customHeight="1" x14ac:dyDescent="0.35">
      <c r="A32" s="16">
        <v>19</v>
      </c>
      <c r="B32" s="17" t="s">
        <v>39</v>
      </c>
      <c r="C32" s="4" t="str">
        <f>'🅰️ ANOTATOR A'!C21</f>
        <v>netral</v>
      </c>
      <c r="D32" s="18" t="str">
        <f>'🅱️ ANOTATOR B'!C21</f>
        <v>netral</v>
      </c>
      <c r="E32" s="2" t="str">
        <f t="shared" si="0"/>
        <v>✅ Sama</v>
      </c>
      <c r="F32" s="19" t="str">
        <f t="shared" si="1"/>
        <v/>
      </c>
    </row>
    <row r="33" spans="1:6" ht="28" customHeight="1" x14ac:dyDescent="0.35">
      <c r="A33" s="20">
        <v>20</v>
      </c>
      <c r="B33" s="21" t="s">
        <v>40</v>
      </c>
      <c r="C33" s="4" t="str">
        <f>'🅰️ ANOTATOR A'!C22</f>
        <v>negatif</v>
      </c>
      <c r="D33" s="18" t="str">
        <f>'🅱️ ANOTATOR B'!C22</f>
        <v>negatif</v>
      </c>
      <c r="E33" s="8" t="str">
        <f t="shared" si="0"/>
        <v>✅ Sama</v>
      </c>
      <c r="F33" s="22" t="str">
        <f t="shared" si="1"/>
        <v/>
      </c>
    </row>
    <row r="34" spans="1:6" ht="28" customHeight="1" x14ac:dyDescent="0.35">
      <c r="A34" s="16">
        <v>21</v>
      </c>
      <c r="B34" s="17" t="s">
        <v>41</v>
      </c>
      <c r="C34" s="4" t="str">
        <f>'🅰️ ANOTATOR A'!C23</f>
        <v>negatif</v>
      </c>
      <c r="D34" s="18" t="str">
        <f>'🅱️ ANOTATOR B'!C23</f>
        <v>netral</v>
      </c>
      <c r="E34" s="2" t="str">
        <f t="shared" si="0"/>
        <v>❌ Beda</v>
      </c>
      <c r="F34" s="19" t="str">
        <f t="shared" si="1"/>
        <v>negatif vs netral</v>
      </c>
    </row>
    <row r="35" spans="1:6" ht="28" customHeight="1" x14ac:dyDescent="0.35">
      <c r="A35" s="20">
        <v>22</v>
      </c>
      <c r="B35" s="21" t="s">
        <v>42</v>
      </c>
      <c r="C35" s="4" t="str">
        <f>'🅰️ ANOTATOR A'!C24</f>
        <v>negatif</v>
      </c>
      <c r="D35" s="18" t="str">
        <f>'🅱️ ANOTATOR B'!C24</f>
        <v>netral</v>
      </c>
      <c r="E35" s="8" t="str">
        <f t="shared" si="0"/>
        <v>❌ Beda</v>
      </c>
      <c r="F35" s="22" t="str">
        <f t="shared" si="1"/>
        <v>negatif vs netral</v>
      </c>
    </row>
    <row r="36" spans="1:6" ht="28" customHeight="1" x14ac:dyDescent="0.35">
      <c r="A36" s="16">
        <v>23</v>
      </c>
      <c r="B36" s="17" t="s">
        <v>43</v>
      </c>
      <c r="C36" s="4" t="str">
        <f>'🅰️ ANOTATOR A'!C25</f>
        <v>negatif</v>
      </c>
      <c r="D36" s="18" t="str">
        <f>'🅱️ ANOTATOR B'!C25</f>
        <v>negatif</v>
      </c>
      <c r="E36" s="2" t="str">
        <f t="shared" si="0"/>
        <v>✅ Sama</v>
      </c>
      <c r="F36" s="19" t="str">
        <f t="shared" si="1"/>
        <v/>
      </c>
    </row>
    <row r="37" spans="1:6" ht="28" customHeight="1" x14ac:dyDescent="0.35">
      <c r="A37" s="20">
        <v>24</v>
      </c>
      <c r="B37" s="21" t="s">
        <v>44</v>
      </c>
      <c r="C37" s="4" t="str">
        <f>'🅰️ ANOTATOR A'!C26</f>
        <v>negatif</v>
      </c>
      <c r="D37" s="18" t="str">
        <f>'🅱️ ANOTATOR B'!C26</f>
        <v>negatif</v>
      </c>
      <c r="E37" s="8" t="str">
        <f t="shared" si="0"/>
        <v>✅ Sama</v>
      </c>
      <c r="F37" s="22" t="str">
        <f t="shared" si="1"/>
        <v/>
      </c>
    </row>
    <row r="38" spans="1:6" ht="28" customHeight="1" x14ac:dyDescent="0.35">
      <c r="A38" s="16">
        <v>25</v>
      </c>
      <c r="B38" s="17" t="s">
        <v>45</v>
      </c>
      <c r="C38" s="4" t="str">
        <f>'🅰️ ANOTATOR A'!C27</f>
        <v>positif</v>
      </c>
      <c r="D38" s="18" t="str">
        <f>'🅱️ ANOTATOR B'!C27</f>
        <v>positif</v>
      </c>
      <c r="E38" s="2" t="str">
        <f t="shared" si="0"/>
        <v>✅ Sama</v>
      </c>
      <c r="F38" s="19" t="str">
        <f t="shared" si="1"/>
        <v/>
      </c>
    </row>
    <row r="39" spans="1:6" ht="28" customHeight="1" x14ac:dyDescent="0.35">
      <c r="A39" s="20">
        <v>26</v>
      </c>
      <c r="B39" s="21" t="s">
        <v>46</v>
      </c>
      <c r="C39" s="4" t="str">
        <f>'🅰️ ANOTATOR A'!C28</f>
        <v>netral</v>
      </c>
      <c r="D39" s="18" t="str">
        <f>'🅱️ ANOTATOR B'!C28</f>
        <v>netral</v>
      </c>
      <c r="E39" s="8" t="str">
        <f t="shared" si="0"/>
        <v>✅ Sama</v>
      </c>
      <c r="F39" s="22" t="str">
        <f t="shared" si="1"/>
        <v/>
      </c>
    </row>
    <row r="40" spans="1:6" ht="28" customHeight="1" x14ac:dyDescent="0.35">
      <c r="A40" s="16">
        <v>27</v>
      </c>
      <c r="B40" s="17" t="s">
        <v>47</v>
      </c>
      <c r="C40" s="4" t="str">
        <f>'🅰️ ANOTATOR A'!C29</f>
        <v>positif</v>
      </c>
      <c r="D40" s="18" t="str">
        <f>'🅱️ ANOTATOR B'!C29</f>
        <v>positif</v>
      </c>
      <c r="E40" s="2" t="str">
        <f t="shared" si="0"/>
        <v>✅ Sama</v>
      </c>
      <c r="F40" s="19" t="str">
        <f t="shared" si="1"/>
        <v/>
      </c>
    </row>
    <row r="41" spans="1:6" ht="28" customHeight="1" x14ac:dyDescent="0.35">
      <c r="A41" s="20">
        <v>28</v>
      </c>
      <c r="B41" s="21" t="s">
        <v>48</v>
      </c>
      <c r="C41" s="4" t="str">
        <f>'🅰️ ANOTATOR A'!C30</f>
        <v>netral</v>
      </c>
      <c r="D41" s="18" t="str">
        <f>'🅱️ ANOTATOR B'!C30</f>
        <v>netral</v>
      </c>
      <c r="E41" s="8" t="str">
        <f t="shared" si="0"/>
        <v>✅ Sama</v>
      </c>
      <c r="F41" s="22" t="str">
        <f t="shared" si="1"/>
        <v/>
      </c>
    </row>
    <row r="42" spans="1:6" ht="28" customHeight="1" x14ac:dyDescent="0.35">
      <c r="A42" s="16">
        <v>29</v>
      </c>
      <c r="B42" s="17" t="s">
        <v>49</v>
      </c>
      <c r="C42" s="4" t="str">
        <f>'🅰️ ANOTATOR A'!C31</f>
        <v>netral</v>
      </c>
      <c r="D42" s="18" t="str">
        <f>'🅱️ ANOTATOR B'!C31</f>
        <v>netral</v>
      </c>
      <c r="E42" s="2" t="str">
        <f t="shared" si="0"/>
        <v>✅ Sama</v>
      </c>
      <c r="F42" s="19" t="str">
        <f t="shared" si="1"/>
        <v/>
      </c>
    </row>
    <row r="43" spans="1:6" ht="28" customHeight="1" x14ac:dyDescent="0.35">
      <c r="A43" s="20">
        <v>30</v>
      </c>
      <c r="B43" s="21" t="s">
        <v>50</v>
      </c>
      <c r="C43" s="4" t="str">
        <f>'🅰️ ANOTATOR A'!C32</f>
        <v>positif</v>
      </c>
      <c r="D43" s="18" t="str">
        <f>'🅱️ ANOTATOR B'!C32</f>
        <v>positif</v>
      </c>
      <c r="E43" s="8" t="str">
        <f t="shared" si="0"/>
        <v>✅ Sama</v>
      </c>
      <c r="F43" s="22" t="str">
        <f t="shared" si="1"/>
        <v/>
      </c>
    </row>
    <row r="44" spans="1:6" ht="28" customHeight="1" x14ac:dyDescent="0.35">
      <c r="A44" s="16">
        <v>31</v>
      </c>
      <c r="B44" s="17" t="s">
        <v>51</v>
      </c>
      <c r="C44" s="4" t="str">
        <f>'🅰️ ANOTATOR A'!C33</f>
        <v>netral</v>
      </c>
      <c r="D44" s="18" t="str">
        <f>'🅱️ ANOTATOR B'!C33</f>
        <v>netral</v>
      </c>
      <c r="E44" s="2" t="str">
        <f t="shared" si="0"/>
        <v>✅ Sama</v>
      </c>
      <c r="F44" s="19" t="str">
        <f t="shared" si="1"/>
        <v/>
      </c>
    </row>
    <row r="45" spans="1:6" ht="28" customHeight="1" x14ac:dyDescent="0.35">
      <c r="A45" s="20">
        <v>32</v>
      </c>
      <c r="B45" s="21" t="s">
        <v>52</v>
      </c>
      <c r="C45" s="4" t="str">
        <f>'🅰️ ANOTATOR A'!C34</f>
        <v>netral</v>
      </c>
      <c r="D45" s="18" t="str">
        <f>'🅱️ ANOTATOR B'!C34</f>
        <v>netral</v>
      </c>
      <c r="E45" s="8" t="str">
        <f t="shared" si="0"/>
        <v>✅ Sama</v>
      </c>
      <c r="F45" s="22" t="str">
        <f t="shared" si="1"/>
        <v/>
      </c>
    </row>
    <row r="46" spans="1:6" ht="28" customHeight="1" x14ac:dyDescent="0.35">
      <c r="A46" s="16">
        <v>33</v>
      </c>
      <c r="B46" s="17" t="s">
        <v>53</v>
      </c>
      <c r="C46" s="4" t="str">
        <f>'🅰️ ANOTATOR A'!C35</f>
        <v>negatif</v>
      </c>
      <c r="D46" s="18" t="str">
        <f>'🅱️ ANOTATOR B'!C35</f>
        <v>negatif</v>
      </c>
      <c r="E46" s="2" t="str">
        <f t="shared" ref="E46:E77" si="2">IF(C46=D46,"✅ Sama","❌ Beda")</f>
        <v>✅ Sama</v>
      </c>
      <c r="F46" s="19" t="str">
        <f t="shared" ref="F46:F77" si="3">IF(C46&lt;&gt;D46,C46&amp;" vs "&amp;D46,"")</f>
        <v/>
      </c>
    </row>
    <row r="47" spans="1:6" ht="28" customHeight="1" x14ac:dyDescent="0.35">
      <c r="A47" s="20">
        <v>34</v>
      </c>
      <c r="B47" s="21" t="s">
        <v>54</v>
      </c>
      <c r="C47" s="4" t="str">
        <f>'🅰️ ANOTATOR A'!C36</f>
        <v>positif</v>
      </c>
      <c r="D47" s="18" t="str">
        <f>'🅱️ ANOTATOR B'!C36</f>
        <v>netral</v>
      </c>
      <c r="E47" s="8" t="str">
        <f t="shared" si="2"/>
        <v>❌ Beda</v>
      </c>
      <c r="F47" s="22" t="str">
        <f t="shared" si="3"/>
        <v>positif vs netral</v>
      </c>
    </row>
    <row r="48" spans="1:6" ht="28" customHeight="1" x14ac:dyDescent="0.35">
      <c r="A48" s="16">
        <v>35</v>
      </c>
      <c r="B48" s="17" t="s">
        <v>55</v>
      </c>
      <c r="C48" s="4" t="str">
        <f>'🅰️ ANOTATOR A'!C37</f>
        <v>netral</v>
      </c>
      <c r="D48" s="18" t="str">
        <f>'🅱️ ANOTATOR B'!C37</f>
        <v>negatif</v>
      </c>
      <c r="E48" s="2" t="str">
        <f t="shared" si="2"/>
        <v>❌ Beda</v>
      </c>
      <c r="F48" s="19" t="str">
        <f t="shared" si="3"/>
        <v>netral vs negatif</v>
      </c>
    </row>
    <row r="49" spans="1:6" ht="28" customHeight="1" x14ac:dyDescent="0.35">
      <c r="A49" s="20">
        <v>36</v>
      </c>
      <c r="B49" s="21" t="s">
        <v>56</v>
      </c>
      <c r="C49" s="4" t="str">
        <f>'🅰️ ANOTATOR A'!C38</f>
        <v>positif</v>
      </c>
      <c r="D49" s="18" t="str">
        <f>'🅱️ ANOTATOR B'!C38</f>
        <v>positif</v>
      </c>
      <c r="E49" s="8" t="str">
        <f t="shared" si="2"/>
        <v>✅ Sama</v>
      </c>
      <c r="F49" s="22" t="str">
        <f t="shared" si="3"/>
        <v/>
      </c>
    </row>
    <row r="50" spans="1:6" ht="28" customHeight="1" x14ac:dyDescent="0.35">
      <c r="A50" s="16">
        <v>37</v>
      </c>
      <c r="B50" s="17" t="s">
        <v>57</v>
      </c>
      <c r="C50" s="4" t="str">
        <f>'🅰️ ANOTATOR A'!C39</f>
        <v>netral</v>
      </c>
      <c r="D50" s="18" t="str">
        <f>'🅱️ ANOTATOR B'!C39</f>
        <v>netral</v>
      </c>
      <c r="E50" s="2" t="str">
        <f t="shared" si="2"/>
        <v>✅ Sama</v>
      </c>
      <c r="F50" s="19" t="str">
        <f t="shared" si="3"/>
        <v/>
      </c>
    </row>
    <row r="51" spans="1:6" ht="28" customHeight="1" x14ac:dyDescent="0.35">
      <c r="A51" s="20">
        <v>38</v>
      </c>
      <c r="B51" s="21" t="s">
        <v>58</v>
      </c>
      <c r="C51" s="4" t="str">
        <f>'🅰️ ANOTATOR A'!C40</f>
        <v>negatif</v>
      </c>
      <c r="D51" s="18" t="str">
        <f>'🅱️ ANOTATOR B'!C40</f>
        <v>negatif</v>
      </c>
      <c r="E51" s="8" t="str">
        <f t="shared" si="2"/>
        <v>✅ Sama</v>
      </c>
      <c r="F51" s="22" t="str">
        <f t="shared" si="3"/>
        <v/>
      </c>
    </row>
    <row r="52" spans="1:6" ht="28" customHeight="1" x14ac:dyDescent="0.35">
      <c r="A52" s="16">
        <v>39</v>
      </c>
      <c r="B52" s="17" t="s">
        <v>59</v>
      </c>
      <c r="C52" s="4" t="str">
        <f>'🅰️ ANOTATOR A'!C41</f>
        <v>negatif</v>
      </c>
      <c r="D52" s="18" t="str">
        <f>'🅱️ ANOTATOR B'!C41</f>
        <v>negatif</v>
      </c>
      <c r="E52" s="2" t="str">
        <f t="shared" si="2"/>
        <v>✅ Sama</v>
      </c>
      <c r="F52" s="19" t="str">
        <f t="shared" si="3"/>
        <v/>
      </c>
    </row>
    <row r="53" spans="1:6" ht="28" customHeight="1" x14ac:dyDescent="0.35">
      <c r="A53" s="20">
        <v>40</v>
      </c>
      <c r="B53" s="21" t="s">
        <v>60</v>
      </c>
      <c r="C53" s="4" t="str">
        <f>'🅰️ ANOTATOR A'!C42</f>
        <v>positif</v>
      </c>
      <c r="D53" s="18" t="str">
        <f>'🅱️ ANOTATOR B'!C42</f>
        <v>positif</v>
      </c>
      <c r="E53" s="8" t="str">
        <f t="shared" si="2"/>
        <v>✅ Sama</v>
      </c>
      <c r="F53" s="22" t="str">
        <f t="shared" si="3"/>
        <v/>
      </c>
    </row>
    <row r="54" spans="1:6" ht="28" customHeight="1" x14ac:dyDescent="0.35">
      <c r="A54" s="16">
        <v>41</v>
      </c>
      <c r="B54" s="17" t="s">
        <v>61</v>
      </c>
      <c r="C54" s="4" t="str">
        <f>'🅰️ ANOTATOR A'!C43</f>
        <v>netral</v>
      </c>
      <c r="D54" s="18" t="str">
        <f>'🅱️ ANOTATOR B'!C43</f>
        <v>positif</v>
      </c>
      <c r="E54" s="2" t="str">
        <f t="shared" si="2"/>
        <v>❌ Beda</v>
      </c>
      <c r="F54" s="19" t="str">
        <f t="shared" si="3"/>
        <v>netral vs positif</v>
      </c>
    </row>
    <row r="55" spans="1:6" ht="28" customHeight="1" x14ac:dyDescent="0.35">
      <c r="A55" s="20">
        <v>42</v>
      </c>
      <c r="B55" s="21" t="s">
        <v>62</v>
      </c>
      <c r="C55" s="4" t="str">
        <f>'🅰️ ANOTATOR A'!C44</f>
        <v>netral</v>
      </c>
      <c r="D55" s="18" t="str">
        <f>'🅱️ ANOTATOR B'!C44</f>
        <v>positif</v>
      </c>
      <c r="E55" s="8" t="str">
        <f t="shared" si="2"/>
        <v>❌ Beda</v>
      </c>
      <c r="F55" s="22" t="str">
        <f t="shared" si="3"/>
        <v>netral vs positif</v>
      </c>
    </row>
    <row r="56" spans="1:6" ht="28" customHeight="1" x14ac:dyDescent="0.35">
      <c r="A56" s="16">
        <v>43</v>
      </c>
      <c r="B56" s="17" t="s">
        <v>63</v>
      </c>
      <c r="C56" s="4" t="str">
        <f>'🅰️ ANOTATOR A'!C45</f>
        <v>positif</v>
      </c>
      <c r="D56" s="18" t="str">
        <f>'🅱️ ANOTATOR B'!C45</f>
        <v>positif</v>
      </c>
      <c r="E56" s="2" t="str">
        <f t="shared" si="2"/>
        <v>✅ Sama</v>
      </c>
      <c r="F56" s="19" t="str">
        <f t="shared" si="3"/>
        <v/>
      </c>
    </row>
    <row r="57" spans="1:6" ht="28" customHeight="1" x14ac:dyDescent="0.35">
      <c r="A57" s="20">
        <v>44</v>
      </c>
      <c r="B57" s="21" t="s">
        <v>64</v>
      </c>
      <c r="C57" s="4" t="str">
        <f>'🅰️ ANOTATOR A'!C46</f>
        <v>netral</v>
      </c>
      <c r="D57" s="18" t="str">
        <f>'🅱️ ANOTATOR B'!C46</f>
        <v>positif</v>
      </c>
      <c r="E57" s="8" t="str">
        <f t="shared" si="2"/>
        <v>❌ Beda</v>
      </c>
      <c r="F57" s="22" t="str">
        <f t="shared" si="3"/>
        <v>netral vs positif</v>
      </c>
    </row>
    <row r="58" spans="1:6" ht="28" customHeight="1" x14ac:dyDescent="0.35">
      <c r="A58" s="16">
        <v>45</v>
      </c>
      <c r="B58" s="17" t="s">
        <v>65</v>
      </c>
      <c r="C58" s="4" t="str">
        <f>'🅰️ ANOTATOR A'!C47</f>
        <v>negatif</v>
      </c>
      <c r="D58" s="18" t="str">
        <f>'🅱️ ANOTATOR B'!C47</f>
        <v>negatif</v>
      </c>
      <c r="E58" s="2" t="str">
        <f t="shared" si="2"/>
        <v>✅ Sama</v>
      </c>
      <c r="F58" s="19" t="str">
        <f t="shared" si="3"/>
        <v/>
      </c>
    </row>
    <row r="59" spans="1:6" ht="28" customHeight="1" x14ac:dyDescent="0.35">
      <c r="A59" s="20">
        <v>46</v>
      </c>
      <c r="B59" s="21" t="s">
        <v>66</v>
      </c>
      <c r="C59" s="4" t="str">
        <f>'🅰️ ANOTATOR A'!C48</f>
        <v>netral</v>
      </c>
      <c r="D59" s="18" t="str">
        <f>'🅱️ ANOTATOR B'!C48</f>
        <v>netral</v>
      </c>
      <c r="E59" s="8" t="str">
        <f t="shared" si="2"/>
        <v>✅ Sama</v>
      </c>
      <c r="F59" s="22" t="str">
        <f t="shared" si="3"/>
        <v/>
      </c>
    </row>
    <row r="60" spans="1:6" ht="28" customHeight="1" x14ac:dyDescent="0.35">
      <c r="A60" s="16">
        <v>47</v>
      </c>
      <c r="B60" s="17" t="s">
        <v>67</v>
      </c>
      <c r="C60" s="4" t="str">
        <f>'🅰️ ANOTATOR A'!C49</f>
        <v>positif</v>
      </c>
      <c r="D60" s="18" t="str">
        <f>'🅱️ ANOTATOR B'!C49</f>
        <v>positif</v>
      </c>
      <c r="E60" s="2" t="str">
        <f t="shared" si="2"/>
        <v>✅ Sama</v>
      </c>
      <c r="F60" s="19" t="str">
        <f t="shared" si="3"/>
        <v/>
      </c>
    </row>
    <row r="61" spans="1:6" ht="28" customHeight="1" x14ac:dyDescent="0.35">
      <c r="A61" s="20">
        <v>48</v>
      </c>
      <c r="B61" s="21" t="s">
        <v>68</v>
      </c>
      <c r="C61" s="4" t="str">
        <f>'🅰️ ANOTATOR A'!C50</f>
        <v>positif</v>
      </c>
      <c r="D61" s="18" t="str">
        <f>'🅱️ ANOTATOR B'!C50</f>
        <v>positif</v>
      </c>
      <c r="E61" s="8" t="str">
        <f t="shared" si="2"/>
        <v>✅ Sama</v>
      </c>
      <c r="F61" s="22" t="str">
        <f t="shared" si="3"/>
        <v/>
      </c>
    </row>
    <row r="62" spans="1:6" ht="28" customHeight="1" x14ac:dyDescent="0.35">
      <c r="A62" s="16">
        <v>49</v>
      </c>
      <c r="B62" s="17" t="s">
        <v>69</v>
      </c>
      <c r="C62" s="4" t="str">
        <f>'🅰️ ANOTATOR A'!C51</f>
        <v>positif</v>
      </c>
      <c r="D62" s="18" t="str">
        <f>'🅱️ ANOTATOR B'!C51</f>
        <v>positif</v>
      </c>
      <c r="E62" s="2" t="str">
        <f t="shared" si="2"/>
        <v>✅ Sama</v>
      </c>
      <c r="F62" s="19" t="str">
        <f t="shared" si="3"/>
        <v/>
      </c>
    </row>
    <row r="63" spans="1:6" ht="28" customHeight="1" x14ac:dyDescent="0.35">
      <c r="A63" s="20">
        <v>50</v>
      </c>
      <c r="B63" s="21" t="s">
        <v>70</v>
      </c>
      <c r="C63" s="4" t="str">
        <f>'🅰️ ANOTATOR A'!C52</f>
        <v>negatif</v>
      </c>
      <c r="D63" s="18" t="str">
        <f>'🅱️ ANOTATOR B'!C52</f>
        <v>negatif</v>
      </c>
      <c r="E63" s="8" t="str">
        <f t="shared" si="2"/>
        <v>✅ Sama</v>
      </c>
      <c r="F63" s="22" t="str">
        <f t="shared" si="3"/>
        <v/>
      </c>
    </row>
    <row r="64" spans="1:6" ht="28" customHeight="1" x14ac:dyDescent="0.35">
      <c r="A64" s="16">
        <v>51</v>
      </c>
      <c r="B64" s="17" t="s">
        <v>71</v>
      </c>
      <c r="C64" s="4" t="str">
        <f>'🅰️ ANOTATOR A'!C53</f>
        <v>negatif</v>
      </c>
      <c r="D64" s="18" t="str">
        <f>'🅱️ ANOTATOR B'!C53</f>
        <v>negatif</v>
      </c>
      <c r="E64" s="2" t="str">
        <f t="shared" si="2"/>
        <v>✅ Sama</v>
      </c>
      <c r="F64" s="19" t="str">
        <f t="shared" si="3"/>
        <v/>
      </c>
    </row>
    <row r="65" spans="1:6" ht="28" customHeight="1" x14ac:dyDescent="0.35">
      <c r="A65" s="20">
        <v>52</v>
      </c>
      <c r="B65" s="21" t="s">
        <v>72</v>
      </c>
      <c r="C65" s="4" t="str">
        <f>'🅰️ ANOTATOR A'!C54</f>
        <v>positif</v>
      </c>
      <c r="D65" s="18" t="str">
        <f>'🅱️ ANOTATOR B'!C54</f>
        <v>netral</v>
      </c>
      <c r="E65" s="8" t="str">
        <f t="shared" si="2"/>
        <v>❌ Beda</v>
      </c>
      <c r="F65" s="22" t="str">
        <f t="shared" si="3"/>
        <v>positif vs netral</v>
      </c>
    </row>
    <row r="66" spans="1:6" ht="28" customHeight="1" x14ac:dyDescent="0.35">
      <c r="A66" s="16">
        <v>53</v>
      </c>
      <c r="B66" s="17" t="s">
        <v>73</v>
      </c>
      <c r="C66" s="4" t="str">
        <f>'🅰️ ANOTATOR A'!C55</f>
        <v>negatif</v>
      </c>
      <c r="D66" s="18" t="str">
        <f>'🅱️ ANOTATOR B'!C55</f>
        <v>negatif</v>
      </c>
      <c r="E66" s="2" t="str">
        <f t="shared" si="2"/>
        <v>✅ Sama</v>
      </c>
      <c r="F66" s="19" t="str">
        <f t="shared" si="3"/>
        <v/>
      </c>
    </row>
    <row r="67" spans="1:6" ht="28" customHeight="1" x14ac:dyDescent="0.35">
      <c r="A67" s="20">
        <v>54</v>
      </c>
      <c r="B67" s="21" t="s">
        <v>74</v>
      </c>
      <c r="C67" s="4" t="str">
        <f>'🅰️ ANOTATOR A'!C56</f>
        <v>negatif</v>
      </c>
      <c r="D67" s="18" t="str">
        <f>'🅱️ ANOTATOR B'!C56</f>
        <v>negatif</v>
      </c>
      <c r="E67" s="8" t="str">
        <f t="shared" si="2"/>
        <v>✅ Sama</v>
      </c>
      <c r="F67" s="22" t="str">
        <f t="shared" si="3"/>
        <v/>
      </c>
    </row>
    <row r="68" spans="1:6" ht="28" customHeight="1" x14ac:dyDescent="0.35">
      <c r="A68" s="16">
        <v>55</v>
      </c>
      <c r="B68" s="17" t="s">
        <v>75</v>
      </c>
      <c r="C68" s="4" t="str">
        <f>'🅰️ ANOTATOR A'!C57</f>
        <v>positif</v>
      </c>
      <c r="D68" s="18" t="str">
        <f>'🅱️ ANOTATOR B'!C57</f>
        <v>positif</v>
      </c>
      <c r="E68" s="2" t="str">
        <f t="shared" si="2"/>
        <v>✅ Sama</v>
      </c>
      <c r="F68" s="19" t="str">
        <f t="shared" si="3"/>
        <v/>
      </c>
    </row>
    <row r="69" spans="1:6" ht="28" customHeight="1" x14ac:dyDescent="0.35">
      <c r="A69" s="20">
        <v>56</v>
      </c>
      <c r="B69" s="21" t="s">
        <v>76</v>
      </c>
      <c r="C69" s="4" t="str">
        <f>'🅰️ ANOTATOR A'!C58</f>
        <v>positif</v>
      </c>
      <c r="D69" s="18" t="str">
        <f>'🅱️ ANOTATOR B'!C58</f>
        <v>positif</v>
      </c>
      <c r="E69" s="8" t="str">
        <f t="shared" si="2"/>
        <v>✅ Sama</v>
      </c>
      <c r="F69" s="22" t="str">
        <f t="shared" si="3"/>
        <v/>
      </c>
    </row>
    <row r="70" spans="1:6" ht="28" customHeight="1" x14ac:dyDescent="0.35">
      <c r="A70" s="16">
        <v>57</v>
      </c>
      <c r="B70" s="17" t="s">
        <v>77</v>
      </c>
      <c r="C70" s="4" t="str">
        <f>'🅰️ ANOTATOR A'!C59</f>
        <v>positif</v>
      </c>
      <c r="D70" s="18" t="str">
        <f>'🅱️ ANOTATOR B'!C59</f>
        <v>positif</v>
      </c>
      <c r="E70" s="2" t="str">
        <f t="shared" si="2"/>
        <v>✅ Sama</v>
      </c>
      <c r="F70" s="19" t="str">
        <f t="shared" si="3"/>
        <v/>
      </c>
    </row>
    <row r="71" spans="1:6" ht="28" customHeight="1" x14ac:dyDescent="0.35">
      <c r="A71" s="20">
        <v>58</v>
      </c>
      <c r="B71" s="21" t="s">
        <v>78</v>
      </c>
      <c r="C71" s="4" t="str">
        <f>'🅰️ ANOTATOR A'!C60</f>
        <v>positif</v>
      </c>
      <c r="D71" s="18" t="str">
        <f>'🅱️ ANOTATOR B'!C60</f>
        <v>positif</v>
      </c>
      <c r="E71" s="8" t="str">
        <f t="shared" si="2"/>
        <v>✅ Sama</v>
      </c>
      <c r="F71" s="22" t="str">
        <f t="shared" si="3"/>
        <v/>
      </c>
    </row>
    <row r="72" spans="1:6" ht="28" customHeight="1" x14ac:dyDescent="0.35">
      <c r="A72" s="16">
        <v>59</v>
      </c>
      <c r="B72" s="17" t="s">
        <v>79</v>
      </c>
      <c r="C72" s="4" t="str">
        <f>'🅰️ ANOTATOR A'!C61</f>
        <v>positif</v>
      </c>
      <c r="D72" s="18" t="str">
        <f>'🅱️ ANOTATOR B'!C61</f>
        <v>positif</v>
      </c>
      <c r="E72" s="2" t="str">
        <f t="shared" si="2"/>
        <v>✅ Sama</v>
      </c>
      <c r="F72" s="19" t="str">
        <f t="shared" si="3"/>
        <v/>
      </c>
    </row>
    <row r="73" spans="1:6" ht="28" customHeight="1" x14ac:dyDescent="0.35">
      <c r="A73" s="20">
        <v>60</v>
      </c>
      <c r="B73" s="21" t="s">
        <v>80</v>
      </c>
      <c r="C73" s="4" t="str">
        <f>'🅰️ ANOTATOR A'!C62</f>
        <v>positif</v>
      </c>
      <c r="D73" s="18" t="str">
        <f>'🅱️ ANOTATOR B'!C62</f>
        <v>positif</v>
      </c>
      <c r="E73" s="8" t="str">
        <f t="shared" si="2"/>
        <v>✅ Sama</v>
      </c>
      <c r="F73" s="22" t="str">
        <f t="shared" si="3"/>
        <v/>
      </c>
    </row>
    <row r="74" spans="1:6" ht="28" customHeight="1" x14ac:dyDescent="0.35">
      <c r="A74" s="16">
        <v>61</v>
      </c>
      <c r="B74" s="17" t="s">
        <v>81</v>
      </c>
      <c r="C74" s="4" t="str">
        <f>'🅰️ ANOTATOR A'!C63</f>
        <v>positif</v>
      </c>
      <c r="D74" s="18" t="str">
        <f>'🅱️ ANOTATOR B'!C63</f>
        <v>positif</v>
      </c>
      <c r="E74" s="2" t="str">
        <f t="shared" si="2"/>
        <v>✅ Sama</v>
      </c>
      <c r="F74" s="19" t="str">
        <f t="shared" si="3"/>
        <v/>
      </c>
    </row>
    <row r="75" spans="1:6" ht="28" customHeight="1" x14ac:dyDescent="0.35">
      <c r="A75" s="20">
        <v>62</v>
      </c>
      <c r="B75" s="21" t="s">
        <v>82</v>
      </c>
      <c r="C75" s="4" t="str">
        <f>'🅰️ ANOTATOR A'!C64</f>
        <v>netral</v>
      </c>
      <c r="D75" s="18" t="str">
        <f>'🅱️ ANOTATOR B'!C64</f>
        <v>positif</v>
      </c>
      <c r="E75" s="8" t="str">
        <f t="shared" si="2"/>
        <v>❌ Beda</v>
      </c>
      <c r="F75" s="22" t="str">
        <f t="shared" si="3"/>
        <v>netral vs positif</v>
      </c>
    </row>
    <row r="76" spans="1:6" ht="28" customHeight="1" x14ac:dyDescent="0.35">
      <c r="A76" s="16">
        <v>63</v>
      </c>
      <c r="B76" s="17" t="s">
        <v>83</v>
      </c>
      <c r="C76" s="4" t="str">
        <f>'🅰️ ANOTATOR A'!C65</f>
        <v>negatif</v>
      </c>
      <c r="D76" s="18" t="str">
        <f>'🅱️ ANOTATOR B'!C65</f>
        <v>netral</v>
      </c>
      <c r="E76" s="2" t="str">
        <f t="shared" si="2"/>
        <v>❌ Beda</v>
      </c>
      <c r="F76" s="19" t="str">
        <f t="shared" si="3"/>
        <v>negatif vs netral</v>
      </c>
    </row>
    <row r="77" spans="1:6" ht="28" customHeight="1" x14ac:dyDescent="0.35">
      <c r="A77" s="20">
        <v>64</v>
      </c>
      <c r="B77" s="21" t="s">
        <v>84</v>
      </c>
      <c r="C77" s="4" t="str">
        <f>'🅰️ ANOTATOR A'!C66</f>
        <v>netral</v>
      </c>
      <c r="D77" s="18" t="str">
        <f>'🅱️ ANOTATOR B'!C66</f>
        <v>netral</v>
      </c>
      <c r="E77" s="8" t="str">
        <f t="shared" si="2"/>
        <v>✅ Sama</v>
      </c>
      <c r="F77" s="22" t="str">
        <f t="shared" si="3"/>
        <v/>
      </c>
    </row>
    <row r="78" spans="1:6" ht="28" customHeight="1" x14ac:dyDescent="0.35">
      <c r="A78" s="16">
        <v>65</v>
      </c>
      <c r="B78" s="17" t="s">
        <v>85</v>
      </c>
      <c r="C78" s="4" t="str">
        <f>'🅰️ ANOTATOR A'!C67</f>
        <v>positif</v>
      </c>
      <c r="D78" s="18" t="str">
        <f>'🅱️ ANOTATOR B'!C67</f>
        <v>positif</v>
      </c>
      <c r="E78" s="2" t="str">
        <f t="shared" ref="E78:E94" si="4">IF(C78=D78,"✅ Sama","❌ Beda")</f>
        <v>✅ Sama</v>
      </c>
      <c r="F78" s="19" t="str">
        <f t="shared" ref="F78:F94" si="5">IF(C78&lt;&gt;D78,C78&amp;" vs "&amp;D78,"")</f>
        <v/>
      </c>
    </row>
    <row r="79" spans="1:6" ht="28" customHeight="1" x14ac:dyDescent="0.35">
      <c r="A79" s="20">
        <v>66</v>
      </c>
      <c r="B79" s="21" t="s">
        <v>86</v>
      </c>
      <c r="C79" s="4" t="str">
        <f>'🅰️ ANOTATOR A'!C68</f>
        <v>positif</v>
      </c>
      <c r="D79" s="18" t="str">
        <f>'🅱️ ANOTATOR B'!C68</f>
        <v>positif</v>
      </c>
      <c r="E79" s="8" t="str">
        <f t="shared" si="4"/>
        <v>✅ Sama</v>
      </c>
      <c r="F79" s="22" t="str">
        <f t="shared" si="5"/>
        <v/>
      </c>
    </row>
    <row r="80" spans="1:6" ht="28" customHeight="1" x14ac:dyDescent="0.35">
      <c r="A80" s="16">
        <v>67</v>
      </c>
      <c r="B80" s="17" t="s">
        <v>87</v>
      </c>
      <c r="C80" s="4" t="str">
        <f>'🅰️ ANOTATOR A'!C69</f>
        <v>negatif</v>
      </c>
      <c r="D80" s="18" t="str">
        <f>'🅱️ ANOTATOR B'!C69</f>
        <v>netral</v>
      </c>
      <c r="E80" s="2" t="str">
        <f t="shared" si="4"/>
        <v>❌ Beda</v>
      </c>
      <c r="F80" s="19" t="str">
        <f t="shared" si="5"/>
        <v>negatif vs netral</v>
      </c>
    </row>
    <row r="81" spans="1:6" ht="28" customHeight="1" x14ac:dyDescent="0.35">
      <c r="A81" s="20">
        <v>68</v>
      </c>
      <c r="B81" s="21" t="s">
        <v>88</v>
      </c>
      <c r="C81" s="4" t="str">
        <f>'🅰️ ANOTATOR A'!C70</f>
        <v>positif</v>
      </c>
      <c r="D81" s="18" t="str">
        <f>'🅱️ ANOTATOR B'!C70</f>
        <v>positif</v>
      </c>
      <c r="E81" s="8" t="str">
        <f t="shared" si="4"/>
        <v>✅ Sama</v>
      </c>
      <c r="F81" s="22" t="str">
        <f t="shared" si="5"/>
        <v/>
      </c>
    </row>
    <row r="82" spans="1:6" ht="28" customHeight="1" x14ac:dyDescent="0.35">
      <c r="A82" s="16">
        <v>69</v>
      </c>
      <c r="B82" s="17" t="s">
        <v>89</v>
      </c>
      <c r="C82" s="4" t="str">
        <f>'🅰️ ANOTATOR A'!C71</f>
        <v>netral</v>
      </c>
      <c r="D82" s="18" t="str">
        <f>'🅱️ ANOTATOR B'!C71</f>
        <v>positif</v>
      </c>
      <c r="E82" s="2" t="str">
        <f t="shared" si="4"/>
        <v>❌ Beda</v>
      </c>
      <c r="F82" s="19" t="str">
        <f t="shared" si="5"/>
        <v>netral vs positif</v>
      </c>
    </row>
    <row r="83" spans="1:6" ht="28" customHeight="1" x14ac:dyDescent="0.35">
      <c r="A83" s="20">
        <v>70</v>
      </c>
      <c r="B83" s="21" t="s">
        <v>90</v>
      </c>
      <c r="C83" s="4" t="str">
        <f>'🅰️ ANOTATOR A'!C72</f>
        <v>negatif</v>
      </c>
      <c r="D83" s="18" t="str">
        <f>'🅱️ ANOTATOR B'!C72</f>
        <v>negatif</v>
      </c>
      <c r="E83" s="8" t="str">
        <f t="shared" si="4"/>
        <v>✅ Sama</v>
      </c>
      <c r="F83" s="22" t="str">
        <f t="shared" si="5"/>
        <v/>
      </c>
    </row>
    <row r="84" spans="1:6" ht="28" customHeight="1" x14ac:dyDescent="0.35">
      <c r="A84" s="16">
        <v>71</v>
      </c>
      <c r="B84" s="17" t="s">
        <v>91</v>
      </c>
      <c r="C84" s="4" t="str">
        <f>'🅰️ ANOTATOR A'!C73</f>
        <v>positif</v>
      </c>
      <c r="D84" s="18" t="str">
        <f>'🅱️ ANOTATOR B'!C73</f>
        <v>positif</v>
      </c>
      <c r="E84" s="2" t="str">
        <f t="shared" si="4"/>
        <v>✅ Sama</v>
      </c>
      <c r="F84" s="19" t="str">
        <f t="shared" si="5"/>
        <v/>
      </c>
    </row>
    <row r="85" spans="1:6" ht="28" customHeight="1" x14ac:dyDescent="0.35">
      <c r="A85" s="20">
        <v>72</v>
      </c>
      <c r="B85" s="21" t="s">
        <v>92</v>
      </c>
      <c r="C85" s="4" t="str">
        <f>'🅰️ ANOTATOR A'!C74</f>
        <v>positif</v>
      </c>
      <c r="D85" s="18" t="str">
        <f>'🅱️ ANOTATOR B'!C74</f>
        <v>positif</v>
      </c>
      <c r="E85" s="8" t="str">
        <f t="shared" si="4"/>
        <v>✅ Sama</v>
      </c>
      <c r="F85" s="22" t="str">
        <f t="shared" si="5"/>
        <v/>
      </c>
    </row>
    <row r="86" spans="1:6" ht="28" customHeight="1" x14ac:dyDescent="0.35">
      <c r="A86" s="16">
        <v>73</v>
      </c>
      <c r="B86" s="17" t="s">
        <v>93</v>
      </c>
      <c r="C86" s="4" t="str">
        <f>'🅰️ ANOTATOR A'!C75</f>
        <v>positif</v>
      </c>
      <c r="D86" s="18" t="str">
        <f>'🅱️ ANOTATOR B'!C75</f>
        <v>positif</v>
      </c>
      <c r="E86" s="2" t="str">
        <f t="shared" si="4"/>
        <v>✅ Sama</v>
      </c>
      <c r="F86" s="19" t="str">
        <f t="shared" si="5"/>
        <v/>
      </c>
    </row>
    <row r="87" spans="1:6" ht="28" customHeight="1" x14ac:dyDescent="0.35">
      <c r="A87" s="20">
        <v>74</v>
      </c>
      <c r="B87" s="21" t="s">
        <v>94</v>
      </c>
      <c r="C87" s="4" t="str">
        <f>'🅰️ ANOTATOR A'!C76</f>
        <v>positif</v>
      </c>
      <c r="D87" s="18" t="str">
        <f>'🅱️ ANOTATOR B'!C76</f>
        <v>positif</v>
      </c>
      <c r="E87" s="8" t="str">
        <f t="shared" si="4"/>
        <v>✅ Sama</v>
      </c>
      <c r="F87" s="22" t="str">
        <f t="shared" si="5"/>
        <v/>
      </c>
    </row>
    <row r="88" spans="1:6" ht="28" customHeight="1" x14ac:dyDescent="0.35">
      <c r="A88" s="16">
        <v>75</v>
      </c>
      <c r="B88" s="17" t="s">
        <v>95</v>
      </c>
      <c r="C88" s="4" t="str">
        <f>'🅰️ ANOTATOR A'!C77</f>
        <v>positif</v>
      </c>
      <c r="D88" s="18" t="str">
        <f>'🅱️ ANOTATOR B'!C77</f>
        <v>positif</v>
      </c>
      <c r="E88" s="2" t="str">
        <f t="shared" si="4"/>
        <v>✅ Sama</v>
      </c>
      <c r="F88" s="19" t="str">
        <f t="shared" si="5"/>
        <v/>
      </c>
    </row>
    <row r="89" spans="1:6" ht="28" customHeight="1" x14ac:dyDescent="0.35">
      <c r="A89" s="20">
        <v>76</v>
      </c>
      <c r="B89" s="21" t="s">
        <v>96</v>
      </c>
      <c r="C89" s="4" t="str">
        <f>'🅰️ ANOTATOR A'!C78</f>
        <v>negatif</v>
      </c>
      <c r="D89" s="18" t="str">
        <f>'🅱️ ANOTATOR B'!C78</f>
        <v>negatif</v>
      </c>
      <c r="E89" s="8" t="str">
        <f t="shared" si="4"/>
        <v>✅ Sama</v>
      </c>
      <c r="F89" s="22" t="str">
        <f t="shared" si="5"/>
        <v/>
      </c>
    </row>
    <row r="90" spans="1:6" ht="28" customHeight="1" x14ac:dyDescent="0.35">
      <c r="A90" s="16">
        <v>77</v>
      </c>
      <c r="B90" s="17" t="s">
        <v>97</v>
      </c>
      <c r="C90" s="4" t="str">
        <f>'🅰️ ANOTATOR A'!C79</f>
        <v>positif</v>
      </c>
      <c r="D90" s="18" t="str">
        <f>'🅱️ ANOTATOR B'!C79</f>
        <v>positif</v>
      </c>
      <c r="E90" s="2" t="str">
        <f t="shared" si="4"/>
        <v>✅ Sama</v>
      </c>
      <c r="F90" s="19" t="str">
        <f t="shared" si="5"/>
        <v/>
      </c>
    </row>
    <row r="91" spans="1:6" ht="28" customHeight="1" x14ac:dyDescent="0.35">
      <c r="A91" s="20">
        <v>78</v>
      </c>
      <c r="B91" s="21" t="s">
        <v>98</v>
      </c>
      <c r="C91" s="4" t="str">
        <f>'🅰️ ANOTATOR A'!C80</f>
        <v>negatif</v>
      </c>
      <c r="D91" s="18" t="str">
        <f>'🅱️ ANOTATOR B'!C80</f>
        <v>negatif</v>
      </c>
      <c r="E91" s="8" t="str">
        <f t="shared" si="4"/>
        <v>✅ Sama</v>
      </c>
      <c r="F91" s="22" t="str">
        <f t="shared" si="5"/>
        <v/>
      </c>
    </row>
    <row r="92" spans="1:6" ht="28" customHeight="1" x14ac:dyDescent="0.35">
      <c r="A92" s="16">
        <v>79</v>
      </c>
      <c r="B92" s="17" t="s">
        <v>99</v>
      </c>
      <c r="C92" s="4" t="str">
        <f>'🅰️ ANOTATOR A'!C81</f>
        <v>negatif</v>
      </c>
      <c r="D92" s="18" t="str">
        <f>'🅱️ ANOTATOR B'!C81</f>
        <v>negatif</v>
      </c>
      <c r="E92" s="2" t="str">
        <f t="shared" si="4"/>
        <v>✅ Sama</v>
      </c>
      <c r="F92" s="19" t="str">
        <f t="shared" si="5"/>
        <v/>
      </c>
    </row>
    <row r="93" spans="1:6" ht="28" customHeight="1" x14ac:dyDescent="0.35">
      <c r="A93" s="20">
        <v>80</v>
      </c>
      <c r="B93" s="21" t="s">
        <v>100</v>
      </c>
      <c r="C93" s="4" t="str">
        <f>'🅰️ ANOTATOR A'!C82</f>
        <v>netral</v>
      </c>
      <c r="D93" s="18" t="str">
        <f>'🅱️ ANOTATOR B'!C82</f>
        <v>positif</v>
      </c>
      <c r="E93" s="8" t="str">
        <f t="shared" si="4"/>
        <v>❌ Beda</v>
      </c>
      <c r="F93" s="22" t="str">
        <f t="shared" si="5"/>
        <v>netral vs positif</v>
      </c>
    </row>
    <row r="94" spans="1:6" ht="28" customHeight="1" x14ac:dyDescent="0.35">
      <c r="A94" s="16">
        <v>81</v>
      </c>
      <c r="B94" s="17" t="s">
        <v>101</v>
      </c>
      <c r="C94" s="4" t="str">
        <f>'🅰️ ANOTATOR A'!C83</f>
        <v>negatif</v>
      </c>
      <c r="D94" s="18" t="str">
        <f>'🅱️ ANOTATOR B'!C83</f>
        <v>negatif</v>
      </c>
      <c r="E94" s="2" t="str">
        <f t="shared" si="4"/>
        <v>✅ Sama</v>
      </c>
      <c r="F94" s="19" t="str">
        <f t="shared" si="5"/>
        <v/>
      </c>
    </row>
    <row r="97" spans="1:6" ht="24" customHeight="1" x14ac:dyDescent="0.35">
      <c r="A97" s="41" t="s">
        <v>209</v>
      </c>
      <c r="B97" s="29"/>
      <c r="C97" s="29"/>
      <c r="D97" s="29"/>
      <c r="E97" s="29"/>
      <c r="F97" s="29"/>
    </row>
    <row r="98" spans="1:6" ht="22" customHeight="1" x14ac:dyDescent="0.35">
      <c r="A98" s="12" t="s">
        <v>13</v>
      </c>
      <c r="B98" s="12" t="s">
        <v>204</v>
      </c>
      <c r="C98" s="12" t="s">
        <v>205</v>
      </c>
      <c r="D98" s="12" t="s">
        <v>206</v>
      </c>
      <c r="E98" s="12" t="s">
        <v>207</v>
      </c>
      <c r="F98" s="12" t="s">
        <v>208</v>
      </c>
    </row>
    <row r="99" spans="1:6" ht="28" customHeight="1" x14ac:dyDescent="0.35">
      <c r="A99" s="16">
        <v>1</v>
      </c>
      <c r="B99" s="17" t="s">
        <v>105</v>
      </c>
      <c r="C99" s="4" t="str">
        <f>'🅰️ ANOTATOR A'!D87</f>
        <v>darurat</v>
      </c>
      <c r="D99" s="18" t="str">
        <f>'🅱️ ANOTATOR B'!D87</f>
        <v>darurat</v>
      </c>
      <c r="E99" s="2" t="str">
        <f t="shared" ref="E99:E130" si="6">IF(C99=D99,"✅ Sama","❌ Beda")</f>
        <v>✅ Sama</v>
      </c>
      <c r="F99" s="19" t="str">
        <f t="shared" ref="F99:F130" si="7">IF(C99&lt;&gt;D99,C99&amp;" vs "&amp;D99,"")</f>
        <v/>
      </c>
    </row>
    <row r="100" spans="1:6" ht="28" customHeight="1" x14ac:dyDescent="0.35">
      <c r="A100" s="20">
        <v>2</v>
      </c>
      <c r="B100" s="21" t="s">
        <v>106</v>
      </c>
      <c r="C100" s="4" t="str">
        <f>'🅰️ ANOTATOR A'!D88</f>
        <v>keluhan</v>
      </c>
      <c r="D100" s="18" t="str">
        <f>'🅱️ ANOTATOR B'!D88</f>
        <v>keluhan</v>
      </c>
      <c r="E100" s="8" t="str">
        <f t="shared" si="6"/>
        <v>✅ Sama</v>
      </c>
      <c r="F100" s="22" t="str">
        <f t="shared" si="7"/>
        <v/>
      </c>
    </row>
    <row r="101" spans="1:6" ht="28" customHeight="1" x14ac:dyDescent="0.35">
      <c r="A101" s="16">
        <v>3</v>
      </c>
      <c r="B101" s="17" t="s">
        <v>107</v>
      </c>
      <c r="C101" s="4" t="str">
        <f>'🅰️ ANOTATOR A'!D89</f>
        <v>saran</v>
      </c>
      <c r="D101" s="18" t="str">
        <f>'🅱️ ANOTATOR B'!D89</f>
        <v>permintaan</v>
      </c>
      <c r="E101" s="2" t="str">
        <f t="shared" si="6"/>
        <v>❌ Beda</v>
      </c>
      <c r="F101" s="19" t="str">
        <f t="shared" si="7"/>
        <v>saran vs permintaan</v>
      </c>
    </row>
    <row r="102" spans="1:6" ht="28" customHeight="1" x14ac:dyDescent="0.35">
      <c r="A102" s="20">
        <v>4</v>
      </c>
      <c r="B102" s="21" t="s">
        <v>108</v>
      </c>
      <c r="C102" s="4" t="str">
        <f>'🅰️ ANOTATOR A'!D90</f>
        <v>darurat</v>
      </c>
      <c r="D102" s="18" t="str">
        <f>'🅱️ ANOTATOR B'!D90</f>
        <v>darurat</v>
      </c>
      <c r="E102" s="8" t="str">
        <f t="shared" si="6"/>
        <v>✅ Sama</v>
      </c>
      <c r="F102" s="22" t="str">
        <f t="shared" si="7"/>
        <v/>
      </c>
    </row>
    <row r="103" spans="1:6" ht="28" customHeight="1" x14ac:dyDescent="0.35">
      <c r="A103" s="16">
        <v>5</v>
      </c>
      <c r="B103" s="17" t="s">
        <v>109</v>
      </c>
      <c r="C103" s="4" t="str">
        <f>'🅰️ ANOTATOR A'!D91</f>
        <v>permintaan</v>
      </c>
      <c r="D103" s="18" t="str">
        <f>'🅱️ ANOTATOR B'!D91</f>
        <v>permintaan</v>
      </c>
      <c r="E103" s="2" t="str">
        <f t="shared" si="6"/>
        <v>✅ Sama</v>
      </c>
      <c r="F103" s="19" t="str">
        <f t="shared" si="7"/>
        <v/>
      </c>
    </row>
    <row r="104" spans="1:6" ht="28" customHeight="1" x14ac:dyDescent="0.35">
      <c r="A104" s="20">
        <v>6</v>
      </c>
      <c r="B104" s="21" t="s">
        <v>110</v>
      </c>
      <c r="C104" s="4" t="str">
        <f>'🅰️ ANOTATOR A'!D92</f>
        <v>apresiasi</v>
      </c>
      <c r="D104" s="18" t="str">
        <f>'🅱️ ANOTATOR B'!D92</f>
        <v>apresiasi</v>
      </c>
      <c r="E104" s="8" t="str">
        <f t="shared" si="6"/>
        <v>✅ Sama</v>
      </c>
      <c r="F104" s="22" t="str">
        <f t="shared" si="7"/>
        <v/>
      </c>
    </row>
    <row r="105" spans="1:6" ht="28" customHeight="1" x14ac:dyDescent="0.35">
      <c r="A105" s="16">
        <v>7</v>
      </c>
      <c r="B105" s="17" t="s">
        <v>111</v>
      </c>
      <c r="C105" s="4" t="str">
        <f>'🅰️ ANOTATOR A'!D93</f>
        <v>darurat</v>
      </c>
      <c r="D105" s="18" t="str">
        <f>'🅱️ ANOTATOR B'!D93</f>
        <v>darurat</v>
      </c>
      <c r="E105" s="2" t="str">
        <f t="shared" si="6"/>
        <v>✅ Sama</v>
      </c>
      <c r="F105" s="19" t="str">
        <f t="shared" si="7"/>
        <v/>
      </c>
    </row>
    <row r="106" spans="1:6" ht="28" customHeight="1" x14ac:dyDescent="0.35">
      <c r="A106" s="20">
        <v>8</v>
      </c>
      <c r="B106" s="21" t="s">
        <v>112</v>
      </c>
      <c r="C106" s="4" t="str">
        <f>'🅰️ ANOTATOR A'!D94</f>
        <v>keluhan</v>
      </c>
      <c r="D106" s="18" t="str">
        <f>'🅱️ ANOTATOR B'!D94</f>
        <v>keluhan</v>
      </c>
      <c r="E106" s="8" t="str">
        <f t="shared" si="6"/>
        <v>✅ Sama</v>
      </c>
      <c r="F106" s="22" t="str">
        <f t="shared" si="7"/>
        <v/>
      </c>
    </row>
    <row r="107" spans="1:6" ht="28" customHeight="1" x14ac:dyDescent="0.35">
      <c r="A107" s="16">
        <v>9</v>
      </c>
      <c r="B107" s="17" t="s">
        <v>113</v>
      </c>
      <c r="C107" s="4" t="str">
        <f>'🅰️ ANOTATOR A'!D95</f>
        <v>apresiasi</v>
      </c>
      <c r="D107" s="18" t="str">
        <f>'🅱️ ANOTATOR B'!D95</f>
        <v>apresiasi</v>
      </c>
      <c r="E107" s="2" t="str">
        <f t="shared" si="6"/>
        <v>✅ Sama</v>
      </c>
      <c r="F107" s="19" t="str">
        <f t="shared" si="7"/>
        <v/>
      </c>
    </row>
    <row r="108" spans="1:6" ht="28" customHeight="1" x14ac:dyDescent="0.35">
      <c r="A108" s="20">
        <v>10</v>
      </c>
      <c r="B108" s="21" t="s">
        <v>114</v>
      </c>
      <c r="C108" s="4" t="str">
        <f>'🅰️ ANOTATOR A'!D96</f>
        <v>permintaan</v>
      </c>
      <c r="D108" s="18" t="str">
        <f>'🅱️ ANOTATOR B'!D96</f>
        <v>saran</v>
      </c>
      <c r="E108" s="8" t="str">
        <f t="shared" si="6"/>
        <v>❌ Beda</v>
      </c>
      <c r="F108" s="22" t="str">
        <f t="shared" si="7"/>
        <v>permintaan vs saran</v>
      </c>
    </row>
    <row r="109" spans="1:6" ht="28" customHeight="1" x14ac:dyDescent="0.35">
      <c r="A109" s="16">
        <v>11</v>
      </c>
      <c r="B109" s="17" t="s">
        <v>115</v>
      </c>
      <c r="C109" s="4" t="str">
        <f>'🅰️ ANOTATOR A'!D97</f>
        <v>darurat</v>
      </c>
      <c r="D109" s="18" t="str">
        <f>'🅱️ ANOTATOR B'!D97</f>
        <v>permintaan</v>
      </c>
      <c r="E109" s="2" t="str">
        <f t="shared" si="6"/>
        <v>❌ Beda</v>
      </c>
      <c r="F109" s="19" t="str">
        <f t="shared" si="7"/>
        <v>darurat vs permintaan</v>
      </c>
    </row>
    <row r="110" spans="1:6" ht="28" customHeight="1" x14ac:dyDescent="0.35">
      <c r="A110" s="20">
        <v>12</v>
      </c>
      <c r="B110" s="21" t="s">
        <v>116</v>
      </c>
      <c r="C110" s="4" t="str">
        <f>'🅰️ ANOTATOR A'!D98</f>
        <v>darurat</v>
      </c>
      <c r="D110" s="18" t="str">
        <f>'🅱️ ANOTATOR B'!D98</f>
        <v>darurat</v>
      </c>
      <c r="E110" s="8" t="str">
        <f t="shared" si="6"/>
        <v>✅ Sama</v>
      </c>
      <c r="F110" s="22" t="str">
        <f t="shared" si="7"/>
        <v/>
      </c>
    </row>
    <row r="111" spans="1:6" ht="28" customHeight="1" x14ac:dyDescent="0.35">
      <c r="A111" s="16">
        <v>13</v>
      </c>
      <c r="B111" s="17" t="s">
        <v>117</v>
      </c>
      <c r="C111" s="4" t="str">
        <f>'🅰️ ANOTATOR A'!D99</f>
        <v>saran</v>
      </c>
      <c r="D111" s="18" t="str">
        <f>'🅱️ ANOTATOR B'!D99</f>
        <v>saran</v>
      </c>
      <c r="E111" s="2" t="str">
        <f t="shared" si="6"/>
        <v>✅ Sama</v>
      </c>
      <c r="F111" s="19" t="str">
        <f t="shared" si="7"/>
        <v/>
      </c>
    </row>
    <row r="112" spans="1:6" ht="28" customHeight="1" x14ac:dyDescent="0.35">
      <c r="A112" s="20">
        <v>14</v>
      </c>
      <c r="B112" s="21" t="s">
        <v>105</v>
      </c>
      <c r="C112" s="4" t="str">
        <f>'🅰️ ANOTATOR A'!D100</f>
        <v>darurat</v>
      </c>
      <c r="D112" s="18" t="str">
        <f>'🅱️ ANOTATOR B'!D100</f>
        <v>darurat</v>
      </c>
      <c r="E112" s="8" t="str">
        <f t="shared" si="6"/>
        <v>✅ Sama</v>
      </c>
      <c r="F112" s="22" t="str">
        <f t="shared" si="7"/>
        <v/>
      </c>
    </row>
    <row r="113" spans="1:6" ht="28" customHeight="1" x14ac:dyDescent="0.35">
      <c r="A113" s="16">
        <v>15</v>
      </c>
      <c r="B113" s="17" t="s">
        <v>118</v>
      </c>
      <c r="C113" s="4" t="str">
        <f>'🅰️ ANOTATOR A'!D101</f>
        <v>keluhan</v>
      </c>
      <c r="D113" s="18" t="str">
        <f>'🅱️ ANOTATOR B'!D101</f>
        <v>keluhan</v>
      </c>
      <c r="E113" s="2" t="str">
        <f t="shared" si="6"/>
        <v>✅ Sama</v>
      </c>
      <c r="F113" s="19" t="str">
        <f t="shared" si="7"/>
        <v/>
      </c>
    </row>
    <row r="114" spans="1:6" ht="28" customHeight="1" x14ac:dyDescent="0.35">
      <c r="A114" s="20">
        <v>16</v>
      </c>
      <c r="B114" s="21" t="s">
        <v>119</v>
      </c>
      <c r="C114" s="4" t="str">
        <f>'🅰️ ANOTATOR A'!D102</f>
        <v>keluhan</v>
      </c>
      <c r="D114" s="18" t="str">
        <f>'🅱️ ANOTATOR B'!D102</f>
        <v>permintaan</v>
      </c>
      <c r="E114" s="8" t="str">
        <f t="shared" si="6"/>
        <v>❌ Beda</v>
      </c>
      <c r="F114" s="22" t="str">
        <f t="shared" si="7"/>
        <v>keluhan vs permintaan</v>
      </c>
    </row>
    <row r="115" spans="1:6" ht="28" customHeight="1" x14ac:dyDescent="0.35">
      <c r="A115" s="16">
        <v>17</v>
      </c>
      <c r="B115" s="17" t="s">
        <v>120</v>
      </c>
      <c r="C115" s="4" t="str">
        <f>'🅰️ ANOTATOR A'!D103</f>
        <v>keluhan</v>
      </c>
      <c r="D115" s="18" t="str">
        <f>'🅱️ ANOTATOR B'!D103</f>
        <v>keluhan</v>
      </c>
      <c r="E115" s="2" t="str">
        <f t="shared" si="6"/>
        <v>✅ Sama</v>
      </c>
      <c r="F115" s="19" t="str">
        <f t="shared" si="7"/>
        <v/>
      </c>
    </row>
    <row r="116" spans="1:6" ht="28" customHeight="1" x14ac:dyDescent="0.35">
      <c r="A116" s="20">
        <v>18</v>
      </c>
      <c r="B116" s="21" t="s">
        <v>121</v>
      </c>
      <c r="C116" s="4" t="str">
        <f>'🅰️ ANOTATOR A'!D104</f>
        <v>darurat</v>
      </c>
      <c r="D116" s="18" t="str">
        <f>'🅱️ ANOTATOR B'!D104</f>
        <v>darurat</v>
      </c>
      <c r="E116" s="8" t="str">
        <f t="shared" si="6"/>
        <v>✅ Sama</v>
      </c>
      <c r="F116" s="22" t="str">
        <f t="shared" si="7"/>
        <v/>
      </c>
    </row>
    <row r="117" spans="1:6" ht="28" customHeight="1" x14ac:dyDescent="0.35">
      <c r="A117" s="16">
        <v>19</v>
      </c>
      <c r="B117" s="17" t="s">
        <v>122</v>
      </c>
      <c r="C117" s="4" t="str">
        <f>'🅰️ ANOTATOR A'!D105</f>
        <v>permintaan</v>
      </c>
      <c r="D117" s="18" t="str">
        <f>'🅱️ ANOTATOR B'!D105</f>
        <v>permintaan</v>
      </c>
      <c r="E117" s="2" t="str">
        <f t="shared" si="6"/>
        <v>✅ Sama</v>
      </c>
      <c r="F117" s="19" t="str">
        <f t="shared" si="7"/>
        <v/>
      </c>
    </row>
    <row r="118" spans="1:6" ht="28" customHeight="1" x14ac:dyDescent="0.35">
      <c r="A118" s="20">
        <v>20</v>
      </c>
      <c r="B118" s="21" t="s">
        <v>123</v>
      </c>
      <c r="C118" s="4" t="str">
        <f>'🅰️ ANOTATOR A'!D106</f>
        <v>saran</v>
      </c>
      <c r="D118" s="18" t="str">
        <f>'🅱️ ANOTATOR B'!D106</f>
        <v>saran</v>
      </c>
      <c r="E118" s="8" t="str">
        <f t="shared" si="6"/>
        <v>✅ Sama</v>
      </c>
      <c r="F118" s="22" t="str">
        <f t="shared" si="7"/>
        <v/>
      </c>
    </row>
    <row r="119" spans="1:6" ht="28" customHeight="1" x14ac:dyDescent="0.35">
      <c r="A119" s="16">
        <v>21</v>
      </c>
      <c r="B119" s="17" t="s">
        <v>124</v>
      </c>
      <c r="C119" s="4" t="str">
        <f>'🅰️ ANOTATOR A'!D107</f>
        <v>permintaan</v>
      </c>
      <c r="D119" s="18" t="str">
        <f>'🅱️ ANOTATOR B'!D107</f>
        <v>permintaan</v>
      </c>
      <c r="E119" s="2" t="str">
        <f t="shared" si="6"/>
        <v>✅ Sama</v>
      </c>
      <c r="F119" s="19" t="str">
        <f t="shared" si="7"/>
        <v/>
      </c>
    </row>
    <row r="120" spans="1:6" ht="28" customHeight="1" x14ac:dyDescent="0.35">
      <c r="A120" s="20">
        <v>22</v>
      </c>
      <c r="B120" s="21" t="s">
        <v>125</v>
      </c>
      <c r="C120" s="4" t="str">
        <f>'🅰️ ANOTATOR A'!D108</f>
        <v>permintaan</v>
      </c>
      <c r="D120" s="18" t="str">
        <f>'🅱️ ANOTATOR B'!D108</f>
        <v>permintaan</v>
      </c>
      <c r="E120" s="8" t="str">
        <f t="shared" si="6"/>
        <v>✅ Sama</v>
      </c>
      <c r="F120" s="22" t="str">
        <f t="shared" si="7"/>
        <v/>
      </c>
    </row>
    <row r="121" spans="1:6" ht="28" customHeight="1" x14ac:dyDescent="0.35">
      <c r="A121" s="16">
        <v>23</v>
      </c>
      <c r="B121" s="17" t="s">
        <v>126</v>
      </c>
      <c r="C121" s="4" t="str">
        <f>'🅰️ ANOTATOR A'!D109</f>
        <v>apresiasi</v>
      </c>
      <c r="D121" s="18" t="str">
        <f>'🅱️ ANOTATOR B'!D109</f>
        <v>apresiasi</v>
      </c>
      <c r="E121" s="2" t="str">
        <f t="shared" si="6"/>
        <v>✅ Sama</v>
      </c>
      <c r="F121" s="19" t="str">
        <f t="shared" si="7"/>
        <v/>
      </c>
    </row>
    <row r="122" spans="1:6" ht="28" customHeight="1" x14ac:dyDescent="0.35">
      <c r="A122" s="20">
        <v>24</v>
      </c>
      <c r="B122" s="21" t="s">
        <v>127</v>
      </c>
      <c r="C122" s="4" t="str">
        <f>'🅰️ ANOTATOR A'!D110</f>
        <v>keluhan</v>
      </c>
      <c r="D122" s="18" t="str">
        <f>'🅱️ ANOTATOR B'!D110</f>
        <v>keluhan</v>
      </c>
      <c r="E122" s="8" t="str">
        <f t="shared" si="6"/>
        <v>✅ Sama</v>
      </c>
      <c r="F122" s="22" t="str">
        <f t="shared" si="7"/>
        <v/>
      </c>
    </row>
    <row r="123" spans="1:6" ht="28" customHeight="1" x14ac:dyDescent="0.35">
      <c r="A123" s="16">
        <v>25</v>
      </c>
      <c r="B123" s="17" t="s">
        <v>128</v>
      </c>
      <c r="C123" s="4" t="str">
        <f>'🅰️ ANOTATOR A'!D111</f>
        <v>permintaan</v>
      </c>
      <c r="D123" s="18" t="str">
        <f>'🅱️ ANOTATOR B'!D111</f>
        <v>permintaan</v>
      </c>
      <c r="E123" s="2" t="str">
        <f t="shared" si="6"/>
        <v>✅ Sama</v>
      </c>
      <c r="F123" s="19" t="str">
        <f t="shared" si="7"/>
        <v/>
      </c>
    </row>
    <row r="124" spans="1:6" ht="28" customHeight="1" x14ac:dyDescent="0.35">
      <c r="A124" s="20">
        <v>26</v>
      </c>
      <c r="B124" s="21" t="s">
        <v>129</v>
      </c>
      <c r="C124" s="4" t="str">
        <f>'🅰️ ANOTATOR A'!D112</f>
        <v>saran</v>
      </c>
      <c r="D124" s="18" t="str">
        <f>'🅱️ ANOTATOR B'!D112</f>
        <v>saran</v>
      </c>
      <c r="E124" s="8" t="str">
        <f t="shared" si="6"/>
        <v>✅ Sama</v>
      </c>
      <c r="F124" s="22" t="str">
        <f t="shared" si="7"/>
        <v/>
      </c>
    </row>
    <row r="125" spans="1:6" ht="28" customHeight="1" x14ac:dyDescent="0.35">
      <c r="A125" s="16">
        <v>27</v>
      </c>
      <c r="B125" s="17" t="s">
        <v>130</v>
      </c>
      <c r="C125" s="4" t="str">
        <f>'🅰️ ANOTATOR A'!D113</f>
        <v>darurat</v>
      </c>
      <c r="D125" s="18" t="str">
        <f>'🅱️ ANOTATOR B'!D113</f>
        <v>darurat</v>
      </c>
      <c r="E125" s="2" t="str">
        <f t="shared" si="6"/>
        <v>✅ Sama</v>
      </c>
      <c r="F125" s="19" t="str">
        <f t="shared" si="7"/>
        <v/>
      </c>
    </row>
    <row r="126" spans="1:6" ht="28" customHeight="1" x14ac:dyDescent="0.35">
      <c r="A126" s="20">
        <v>28</v>
      </c>
      <c r="B126" s="21" t="s">
        <v>131</v>
      </c>
      <c r="C126" s="4" t="str">
        <f>'🅰️ ANOTATOR A'!D114</f>
        <v>keluhan</v>
      </c>
      <c r="D126" s="18" t="str">
        <f>'🅱️ ANOTATOR B'!D114</f>
        <v>permintaan</v>
      </c>
      <c r="E126" s="8" t="str">
        <f t="shared" si="6"/>
        <v>❌ Beda</v>
      </c>
      <c r="F126" s="22" t="str">
        <f t="shared" si="7"/>
        <v>keluhan vs permintaan</v>
      </c>
    </row>
    <row r="127" spans="1:6" ht="28" customHeight="1" x14ac:dyDescent="0.35">
      <c r="A127" s="16">
        <v>29</v>
      </c>
      <c r="B127" s="17" t="s">
        <v>132</v>
      </c>
      <c r="C127" s="4" t="str">
        <f>'🅰️ ANOTATOR A'!D115</f>
        <v>keluhan</v>
      </c>
      <c r="D127" s="18" t="str">
        <f>'🅱️ ANOTATOR B'!D115</f>
        <v>apresiasi</v>
      </c>
      <c r="E127" s="2" t="str">
        <f t="shared" si="6"/>
        <v>❌ Beda</v>
      </c>
      <c r="F127" s="19" t="str">
        <f t="shared" si="7"/>
        <v>keluhan vs apresiasi</v>
      </c>
    </row>
    <row r="128" spans="1:6" ht="28" customHeight="1" x14ac:dyDescent="0.35">
      <c r="A128" s="20">
        <v>30</v>
      </c>
      <c r="B128" s="21" t="s">
        <v>133</v>
      </c>
      <c r="C128" s="4" t="str">
        <f>'🅰️ ANOTATOR A'!D116</f>
        <v>saran</v>
      </c>
      <c r="D128" s="18" t="str">
        <f>'🅱️ ANOTATOR B'!D116</f>
        <v>saran</v>
      </c>
      <c r="E128" s="8" t="str">
        <f t="shared" si="6"/>
        <v>✅ Sama</v>
      </c>
      <c r="F128" s="22" t="str">
        <f t="shared" si="7"/>
        <v/>
      </c>
    </row>
    <row r="129" spans="1:6" ht="28" customHeight="1" x14ac:dyDescent="0.35">
      <c r="A129" s="16">
        <v>31</v>
      </c>
      <c r="B129" s="17" t="s">
        <v>134</v>
      </c>
      <c r="C129" s="4" t="str">
        <f>'🅰️ ANOTATOR A'!D117</f>
        <v>saran</v>
      </c>
      <c r="D129" s="18" t="str">
        <f>'🅱️ ANOTATOR B'!D117</f>
        <v>permintaan</v>
      </c>
      <c r="E129" s="2" t="str">
        <f t="shared" si="6"/>
        <v>❌ Beda</v>
      </c>
      <c r="F129" s="19" t="str">
        <f t="shared" si="7"/>
        <v>saran vs permintaan</v>
      </c>
    </row>
    <row r="130" spans="1:6" ht="28" customHeight="1" x14ac:dyDescent="0.35">
      <c r="A130" s="20">
        <v>32</v>
      </c>
      <c r="B130" s="21" t="s">
        <v>135</v>
      </c>
      <c r="C130" s="4" t="str">
        <f>'🅰️ ANOTATOR A'!D118</f>
        <v>darurat</v>
      </c>
      <c r="D130" s="18" t="str">
        <f>'🅱️ ANOTATOR B'!D118</f>
        <v>darurat</v>
      </c>
      <c r="E130" s="8" t="str">
        <f t="shared" si="6"/>
        <v>✅ Sama</v>
      </c>
      <c r="F130" s="22" t="str">
        <f t="shared" si="7"/>
        <v/>
      </c>
    </row>
    <row r="131" spans="1:6" ht="28" customHeight="1" x14ac:dyDescent="0.35">
      <c r="A131" s="16">
        <v>33</v>
      </c>
      <c r="B131" s="17" t="s">
        <v>136</v>
      </c>
      <c r="C131" s="4" t="str">
        <f>'🅰️ ANOTATOR A'!D119</f>
        <v>darurat</v>
      </c>
      <c r="D131" s="18" t="str">
        <f>'🅱️ ANOTATOR B'!D119</f>
        <v>keluhan</v>
      </c>
      <c r="E131" s="2" t="str">
        <f t="shared" ref="E131:E162" si="8">IF(C131=D131,"✅ Sama","❌ Beda")</f>
        <v>❌ Beda</v>
      </c>
      <c r="F131" s="19" t="str">
        <f t="shared" ref="F131:F162" si="9">IF(C131&lt;&gt;D131,C131&amp;" vs "&amp;D131,"")</f>
        <v>darurat vs keluhan</v>
      </c>
    </row>
    <row r="132" spans="1:6" ht="28" customHeight="1" x14ac:dyDescent="0.35">
      <c r="A132" s="20">
        <v>34</v>
      </c>
      <c r="B132" s="21" t="s">
        <v>137</v>
      </c>
      <c r="C132" s="4" t="str">
        <f>'🅰️ ANOTATOR A'!D120</f>
        <v>keluhan</v>
      </c>
      <c r="D132" s="18" t="str">
        <f>'🅱️ ANOTATOR B'!D120</f>
        <v>keluhan</v>
      </c>
      <c r="E132" s="8" t="str">
        <f t="shared" si="8"/>
        <v>✅ Sama</v>
      </c>
      <c r="F132" s="22" t="str">
        <f t="shared" si="9"/>
        <v/>
      </c>
    </row>
    <row r="133" spans="1:6" ht="28" customHeight="1" x14ac:dyDescent="0.35">
      <c r="A133" s="16">
        <v>35</v>
      </c>
      <c r="B133" s="17" t="s">
        <v>138</v>
      </c>
      <c r="C133" s="4" t="str">
        <f>'🅰️ ANOTATOR A'!D121</f>
        <v>permintaan</v>
      </c>
      <c r="D133" s="18" t="str">
        <f>'🅱️ ANOTATOR B'!D121</f>
        <v>permintaan</v>
      </c>
      <c r="E133" s="2" t="str">
        <f t="shared" si="8"/>
        <v>✅ Sama</v>
      </c>
      <c r="F133" s="19" t="str">
        <f t="shared" si="9"/>
        <v/>
      </c>
    </row>
    <row r="134" spans="1:6" ht="28" customHeight="1" x14ac:dyDescent="0.35">
      <c r="A134" s="20">
        <v>36</v>
      </c>
      <c r="B134" s="21" t="s">
        <v>139</v>
      </c>
      <c r="C134" s="4" t="str">
        <f>'🅰️ ANOTATOR A'!D122</f>
        <v>apresiasi</v>
      </c>
      <c r="D134" s="18" t="str">
        <f>'🅱️ ANOTATOR B'!D122</f>
        <v>apresiasi</v>
      </c>
      <c r="E134" s="8" t="str">
        <f t="shared" si="8"/>
        <v>✅ Sama</v>
      </c>
      <c r="F134" s="22" t="str">
        <f t="shared" si="9"/>
        <v/>
      </c>
    </row>
    <row r="135" spans="1:6" ht="28" customHeight="1" x14ac:dyDescent="0.35">
      <c r="A135" s="16">
        <v>37</v>
      </c>
      <c r="B135" s="17" t="s">
        <v>140</v>
      </c>
      <c r="C135" s="4" t="str">
        <f>'🅰️ ANOTATOR A'!D123</f>
        <v>saran</v>
      </c>
      <c r="D135" s="18" t="str">
        <f>'🅱️ ANOTATOR B'!D123</f>
        <v>saran</v>
      </c>
      <c r="E135" s="2" t="str">
        <f t="shared" si="8"/>
        <v>✅ Sama</v>
      </c>
      <c r="F135" s="19" t="str">
        <f t="shared" si="9"/>
        <v/>
      </c>
    </row>
    <row r="136" spans="1:6" ht="28" customHeight="1" x14ac:dyDescent="0.35">
      <c r="A136" s="20">
        <v>38</v>
      </c>
      <c r="B136" s="21" t="s">
        <v>141</v>
      </c>
      <c r="C136" s="4" t="str">
        <f>'🅰️ ANOTATOR A'!D124</f>
        <v>permintaan</v>
      </c>
      <c r="D136" s="18" t="str">
        <f>'🅱️ ANOTATOR B'!D124</f>
        <v>permintaan</v>
      </c>
      <c r="E136" s="8" t="str">
        <f t="shared" si="8"/>
        <v>✅ Sama</v>
      </c>
      <c r="F136" s="22" t="str">
        <f t="shared" si="9"/>
        <v/>
      </c>
    </row>
    <row r="137" spans="1:6" ht="28" customHeight="1" x14ac:dyDescent="0.35">
      <c r="A137" s="16">
        <v>39</v>
      </c>
      <c r="B137" s="17" t="s">
        <v>142</v>
      </c>
      <c r="C137" s="4" t="str">
        <f>'🅰️ ANOTATOR A'!D125</f>
        <v>darurat</v>
      </c>
      <c r="D137" s="18" t="str">
        <f>'🅱️ ANOTATOR B'!D125</f>
        <v>darurat</v>
      </c>
      <c r="E137" s="2" t="str">
        <f t="shared" si="8"/>
        <v>✅ Sama</v>
      </c>
      <c r="F137" s="19" t="str">
        <f t="shared" si="9"/>
        <v/>
      </c>
    </row>
    <row r="138" spans="1:6" ht="28" customHeight="1" x14ac:dyDescent="0.35">
      <c r="A138" s="20">
        <v>40</v>
      </c>
      <c r="B138" s="21" t="s">
        <v>143</v>
      </c>
      <c r="C138" s="4" t="str">
        <f>'🅰️ ANOTATOR A'!D126</f>
        <v>permintaan</v>
      </c>
      <c r="D138" s="18" t="str">
        <f>'🅱️ ANOTATOR B'!D126</f>
        <v>keluhan</v>
      </c>
      <c r="E138" s="8" t="str">
        <f t="shared" si="8"/>
        <v>❌ Beda</v>
      </c>
      <c r="F138" s="22" t="str">
        <f t="shared" si="9"/>
        <v>permintaan vs keluhan</v>
      </c>
    </row>
    <row r="139" spans="1:6" ht="28" customHeight="1" x14ac:dyDescent="0.35">
      <c r="A139" s="16">
        <v>41</v>
      </c>
      <c r="B139" s="17" t="s">
        <v>144</v>
      </c>
      <c r="C139" s="4" t="str">
        <f>'🅰️ ANOTATOR A'!D127</f>
        <v>apresiasi</v>
      </c>
      <c r="D139" s="18" t="str">
        <f>'🅱️ ANOTATOR B'!D127</f>
        <v>apresiasi</v>
      </c>
      <c r="E139" s="2" t="str">
        <f t="shared" si="8"/>
        <v>✅ Sama</v>
      </c>
      <c r="F139" s="19" t="str">
        <f t="shared" si="9"/>
        <v/>
      </c>
    </row>
    <row r="140" spans="1:6" ht="28" customHeight="1" x14ac:dyDescent="0.35">
      <c r="A140" s="20">
        <v>42</v>
      </c>
      <c r="B140" s="21" t="s">
        <v>145</v>
      </c>
      <c r="C140" s="4" t="str">
        <f>'🅰️ ANOTATOR A'!D128</f>
        <v>permintaan</v>
      </c>
      <c r="D140" s="18" t="str">
        <f>'🅱️ ANOTATOR B'!D128</f>
        <v>keluhan</v>
      </c>
      <c r="E140" s="8" t="str">
        <f t="shared" si="8"/>
        <v>❌ Beda</v>
      </c>
      <c r="F140" s="22" t="str">
        <f t="shared" si="9"/>
        <v>permintaan vs keluhan</v>
      </c>
    </row>
    <row r="141" spans="1:6" ht="28" customHeight="1" x14ac:dyDescent="0.35">
      <c r="A141" s="16">
        <v>43</v>
      </c>
      <c r="B141" s="17" t="s">
        <v>146</v>
      </c>
      <c r="C141" s="4" t="str">
        <f>'🅰️ ANOTATOR A'!D129</f>
        <v>keluhan</v>
      </c>
      <c r="D141" s="18" t="str">
        <f>'🅱️ ANOTATOR B'!D129</f>
        <v>keluhan</v>
      </c>
      <c r="E141" s="2" t="str">
        <f t="shared" si="8"/>
        <v>✅ Sama</v>
      </c>
      <c r="F141" s="19" t="str">
        <f t="shared" si="9"/>
        <v/>
      </c>
    </row>
    <row r="142" spans="1:6" ht="28" customHeight="1" x14ac:dyDescent="0.35">
      <c r="A142" s="20">
        <v>44</v>
      </c>
      <c r="B142" s="21" t="s">
        <v>147</v>
      </c>
      <c r="C142" s="4" t="str">
        <f>'🅰️ ANOTATOR A'!D130</f>
        <v>darurat</v>
      </c>
      <c r="D142" s="18" t="str">
        <f>'🅱️ ANOTATOR B'!D130</f>
        <v>darurat</v>
      </c>
      <c r="E142" s="8" t="str">
        <f t="shared" si="8"/>
        <v>✅ Sama</v>
      </c>
      <c r="F142" s="22" t="str">
        <f t="shared" si="9"/>
        <v/>
      </c>
    </row>
    <row r="143" spans="1:6" ht="28" customHeight="1" x14ac:dyDescent="0.35">
      <c r="A143" s="16">
        <v>45</v>
      </c>
      <c r="B143" s="17" t="s">
        <v>148</v>
      </c>
      <c r="C143" s="4" t="str">
        <f>'🅰️ ANOTATOR A'!D131</f>
        <v>saran</v>
      </c>
      <c r="D143" s="18" t="str">
        <f>'🅱️ ANOTATOR B'!D131</f>
        <v>saran</v>
      </c>
      <c r="E143" s="2" t="str">
        <f t="shared" si="8"/>
        <v>✅ Sama</v>
      </c>
      <c r="F143" s="19" t="str">
        <f t="shared" si="9"/>
        <v/>
      </c>
    </row>
    <row r="144" spans="1:6" ht="28" customHeight="1" x14ac:dyDescent="0.35">
      <c r="A144" s="20">
        <v>46</v>
      </c>
      <c r="B144" s="21" t="s">
        <v>149</v>
      </c>
      <c r="C144" s="4" t="str">
        <f>'🅰️ ANOTATOR A'!D132</f>
        <v>keluhan</v>
      </c>
      <c r="D144" s="18" t="str">
        <f>'🅱️ ANOTATOR B'!D132</f>
        <v>keluhan</v>
      </c>
      <c r="E144" s="8" t="str">
        <f t="shared" si="8"/>
        <v>✅ Sama</v>
      </c>
      <c r="F144" s="22" t="str">
        <f t="shared" si="9"/>
        <v/>
      </c>
    </row>
    <row r="145" spans="1:6" ht="28" customHeight="1" x14ac:dyDescent="0.35">
      <c r="A145" s="16">
        <v>47</v>
      </c>
      <c r="B145" s="17" t="s">
        <v>150</v>
      </c>
      <c r="C145" s="4" t="str">
        <f>'🅰️ ANOTATOR A'!D133</f>
        <v>keluhan</v>
      </c>
      <c r="D145" s="18" t="str">
        <f>'🅱️ ANOTATOR B'!D133</f>
        <v>darurat</v>
      </c>
      <c r="E145" s="2" t="str">
        <f t="shared" si="8"/>
        <v>❌ Beda</v>
      </c>
      <c r="F145" s="19" t="str">
        <f t="shared" si="9"/>
        <v>keluhan vs darurat</v>
      </c>
    </row>
    <row r="146" spans="1:6" ht="28" customHeight="1" x14ac:dyDescent="0.35">
      <c r="A146" s="20">
        <v>48</v>
      </c>
      <c r="B146" s="21" t="s">
        <v>151</v>
      </c>
      <c r="C146" s="4" t="str">
        <f>'🅰️ ANOTATOR A'!D134</f>
        <v>permintaan</v>
      </c>
      <c r="D146" s="18" t="str">
        <f>'🅱️ ANOTATOR B'!D134</f>
        <v>permintaan</v>
      </c>
      <c r="E146" s="8" t="str">
        <f t="shared" si="8"/>
        <v>✅ Sama</v>
      </c>
      <c r="F146" s="22" t="str">
        <f t="shared" si="9"/>
        <v/>
      </c>
    </row>
    <row r="147" spans="1:6" ht="28" customHeight="1" x14ac:dyDescent="0.35">
      <c r="A147" s="16">
        <v>49</v>
      </c>
      <c r="B147" s="17" t="s">
        <v>152</v>
      </c>
      <c r="C147" s="4" t="str">
        <f>'🅰️ ANOTATOR A'!D135</f>
        <v>darurat</v>
      </c>
      <c r="D147" s="18" t="str">
        <f>'🅱️ ANOTATOR B'!D135</f>
        <v>darurat</v>
      </c>
      <c r="E147" s="2" t="str">
        <f t="shared" si="8"/>
        <v>✅ Sama</v>
      </c>
      <c r="F147" s="19" t="str">
        <f t="shared" si="9"/>
        <v/>
      </c>
    </row>
    <row r="148" spans="1:6" ht="28" customHeight="1" x14ac:dyDescent="0.35">
      <c r="A148" s="20">
        <v>50</v>
      </c>
      <c r="B148" s="21" t="s">
        <v>153</v>
      </c>
      <c r="C148" s="4" t="str">
        <f>'🅰️ ANOTATOR A'!D136</f>
        <v>darurat</v>
      </c>
      <c r="D148" s="18" t="str">
        <f>'🅱️ ANOTATOR B'!D136</f>
        <v>darurat</v>
      </c>
      <c r="E148" s="8" t="str">
        <f t="shared" si="8"/>
        <v>✅ Sama</v>
      </c>
      <c r="F148" s="22" t="str">
        <f t="shared" si="9"/>
        <v/>
      </c>
    </row>
    <row r="149" spans="1:6" ht="28" customHeight="1" x14ac:dyDescent="0.35">
      <c r="A149" s="16">
        <v>51</v>
      </c>
      <c r="B149" s="17" t="s">
        <v>85</v>
      </c>
      <c r="C149" s="4" t="str">
        <f>'🅰️ ANOTATOR A'!D137</f>
        <v>apresiasi</v>
      </c>
      <c r="D149" s="18" t="str">
        <f>'🅱️ ANOTATOR B'!D137</f>
        <v>apresiasi</v>
      </c>
      <c r="E149" s="2" t="str">
        <f t="shared" si="8"/>
        <v>✅ Sama</v>
      </c>
      <c r="F149" s="19" t="str">
        <f t="shared" si="9"/>
        <v/>
      </c>
    </row>
    <row r="150" spans="1:6" ht="28" customHeight="1" x14ac:dyDescent="0.35">
      <c r="A150" s="20">
        <v>52</v>
      </c>
      <c r="B150" s="21" t="s">
        <v>154</v>
      </c>
      <c r="C150" s="4" t="str">
        <f>'🅰️ ANOTATOR A'!D138</f>
        <v>apresiasi</v>
      </c>
      <c r="D150" s="18" t="str">
        <f>'🅱️ ANOTATOR B'!D138</f>
        <v>apresiasi</v>
      </c>
      <c r="E150" s="8" t="str">
        <f t="shared" si="8"/>
        <v>✅ Sama</v>
      </c>
      <c r="F150" s="22" t="str">
        <f t="shared" si="9"/>
        <v/>
      </c>
    </row>
    <row r="151" spans="1:6" ht="28" customHeight="1" x14ac:dyDescent="0.35">
      <c r="A151" s="16">
        <v>53</v>
      </c>
      <c r="B151" s="17" t="s">
        <v>155</v>
      </c>
      <c r="C151" s="4" t="str">
        <f>'🅰️ ANOTATOR A'!D139</f>
        <v>apresiasi</v>
      </c>
      <c r="D151" s="18" t="str">
        <f>'🅱️ ANOTATOR B'!D139</f>
        <v>apresiasi</v>
      </c>
      <c r="E151" s="2" t="str">
        <f t="shared" si="8"/>
        <v>✅ Sama</v>
      </c>
      <c r="F151" s="19" t="str">
        <f t="shared" si="9"/>
        <v/>
      </c>
    </row>
    <row r="152" spans="1:6" ht="28" customHeight="1" x14ac:dyDescent="0.35">
      <c r="A152" s="20">
        <v>54</v>
      </c>
      <c r="B152" s="21" t="s">
        <v>156</v>
      </c>
      <c r="C152" s="4" t="str">
        <f>'🅰️ ANOTATOR A'!D140</f>
        <v>keluhan</v>
      </c>
      <c r="D152" s="18" t="str">
        <f>'🅱️ ANOTATOR B'!D140</f>
        <v>keluhan</v>
      </c>
      <c r="E152" s="8" t="str">
        <f t="shared" si="8"/>
        <v>✅ Sama</v>
      </c>
      <c r="F152" s="22" t="str">
        <f t="shared" si="9"/>
        <v/>
      </c>
    </row>
    <row r="153" spans="1:6" ht="28" customHeight="1" x14ac:dyDescent="0.35">
      <c r="A153" s="16">
        <v>55</v>
      </c>
      <c r="B153" s="17" t="s">
        <v>157</v>
      </c>
      <c r="C153" s="4" t="str">
        <f>'🅰️ ANOTATOR A'!D141</f>
        <v>permintaan</v>
      </c>
      <c r="D153" s="18" t="str">
        <f>'🅱️ ANOTATOR B'!D141</f>
        <v>keluhan</v>
      </c>
      <c r="E153" s="2" t="str">
        <f t="shared" si="8"/>
        <v>❌ Beda</v>
      </c>
      <c r="F153" s="19" t="str">
        <f t="shared" si="9"/>
        <v>permintaan vs keluhan</v>
      </c>
    </row>
    <row r="154" spans="1:6" ht="28" customHeight="1" x14ac:dyDescent="0.35">
      <c r="A154" s="20">
        <v>56</v>
      </c>
      <c r="B154" s="21" t="s">
        <v>158</v>
      </c>
      <c r="C154" s="4" t="str">
        <f>'🅰️ ANOTATOR A'!D142</f>
        <v>saran</v>
      </c>
      <c r="D154" s="18" t="str">
        <f>'🅱️ ANOTATOR B'!D142</f>
        <v>saran</v>
      </c>
      <c r="E154" s="8" t="str">
        <f t="shared" si="8"/>
        <v>✅ Sama</v>
      </c>
      <c r="F154" s="22" t="str">
        <f t="shared" si="9"/>
        <v/>
      </c>
    </row>
    <row r="155" spans="1:6" ht="28" customHeight="1" x14ac:dyDescent="0.35">
      <c r="A155" s="16">
        <v>57</v>
      </c>
      <c r="B155" s="17" t="s">
        <v>159</v>
      </c>
      <c r="C155" s="4" t="str">
        <f>'🅰️ ANOTATOR A'!D143</f>
        <v>keluhan</v>
      </c>
      <c r="D155" s="18" t="str">
        <f>'🅱️ ANOTATOR B'!D143</f>
        <v>darurat</v>
      </c>
      <c r="E155" s="2" t="str">
        <f t="shared" si="8"/>
        <v>❌ Beda</v>
      </c>
      <c r="F155" s="19" t="str">
        <f t="shared" si="9"/>
        <v>keluhan vs darurat</v>
      </c>
    </row>
    <row r="156" spans="1:6" ht="28" customHeight="1" x14ac:dyDescent="0.35">
      <c r="A156" s="20">
        <v>58</v>
      </c>
      <c r="B156" s="21" t="s">
        <v>160</v>
      </c>
      <c r="C156" s="4" t="str">
        <f>'🅰️ ANOTATOR A'!D144</f>
        <v>keluhan</v>
      </c>
      <c r="D156" s="18" t="str">
        <f>'🅱️ ANOTATOR B'!D144</f>
        <v>keluhan</v>
      </c>
      <c r="E156" s="8" t="str">
        <f t="shared" si="8"/>
        <v>✅ Sama</v>
      </c>
      <c r="F156" s="22" t="str">
        <f t="shared" si="9"/>
        <v/>
      </c>
    </row>
    <row r="157" spans="1:6" ht="28" customHeight="1" x14ac:dyDescent="0.35">
      <c r="A157" s="16">
        <v>59</v>
      </c>
      <c r="B157" s="17" t="s">
        <v>161</v>
      </c>
      <c r="C157" s="4" t="str">
        <f>'🅰️ ANOTATOR A'!D145</f>
        <v>darurat</v>
      </c>
      <c r="D157" s="18" t="str">
        <f>'🅱️ ANOTATOR B'!D145</f>
        <v>darurat</v>
      </c>
      <c r="E157" s="2" t="str">
        <f t="shared" si="8"/>
        <v>✅ Sama</v>
      </c>
      <c r="F157" s="19" t="str">
        <f t="shared" si="9"/>
        <v/>
      </c>
    </row>
    <row r="158" spans="1:6" ht="28" customHeight="1" x14ac:dyDescent="0.35">
      <c r="A158" s="20">
        <v>60</v>
      </c>
      <c r="B158" s="21" t="s">
        <v>162</v>
      </c>
      <c r="C158" s="4" t="str">
        <f>'🅰️ ANOTATOR A'!D146</f>
        <v>apresiasi</v>
      </c>
      <c r="D158" s="18" t="str">
        <f>'🅱️ ANOTATOR B'!D146</f>
        <v>apresiasi</v>
      </c>
      <c r="E158" s="8" t="str">
        <f t="shared" si="8"/>
        <v>✅ Sama</v>
      </c>
      <c r="F158" s="22" t="str">
        <f t="shared" si="9"/>
        <v/>
      </c>
    </row>
    <row r="159" spans="1:6" ht="28" customHeight="1" x14ac:dyDescent="0.35">
      <c r="A159" s="16">
        <v>61</v>
      </c>
      <c r="B159" s="17" t="s">
        <v>163</v>
      </c>
      <c r="C159" s="4" t="str">
        <f>'🅰️ ANOTATOR A'!D147</f>
        <v>keluhan</v>
      </c>
      <c r="D159" s="18" t="str">
        <f>'🅱️ ANOTATOR B'!D147</f>
        <v>permintaan</v>
      </c>
      <c r="E159" s="2" t="str">
        <f t="shared" si="8"/>
        <v>❌ Beda</v>
      </c>
      <c r="F159" s="19" t="str">
        <f t="shared" si="9"/>
        <v>keluhan vs permintaan</v>
      </c>
    </row>
    <row r="160" spans="1:6" ht="28" customHeight="1" x14ac:dyDescent="0.35">
      <c r="A160" s="20">
        <v>62</v>
      </c>
      <c r="B160" s="21" t="s">
        <v>164</v>
      </c>
      <c r="C160" s="4" t="str">
        <f>'🅰️ ANOTATOR A'!D148</f>
        <v>permintaan</v>
      </c>
      <c r="D160" s="18" t="str">
        <f>'🅱️ ANOTATOR B'!D148</f>
        <v>permintaan</v>
      </c>
      <c r="E160" s="8" t="str">
        <f t="shared" si="8"/>
        <v>✅ Sama</v>
      </c>
      <c r="F160" s="22" t="str">
        <f t="shared" si="9"/>
        <v/>
      </c>
    </row>
    <row r="161" spans="1:6" ht="28" customHeight="1" x14ac:dyDescent="0.35">
      <c r="A161" s="16">
        <v>63</v>
      </c>
      <c r="B161" s="17" t="s">
        <v>165</v>
      </c>
      <c r="C161" s="4" t="str">
        <f>'🅰️ ANOTATOR A'!D149</f>
        <v>saran</v>
      </c>
      <c r="D161" s="18" t="str">
        <f>'🅱️ ANOTATOR B'!D149</f>
        <v>keluhan</v>
      </c>
      <c r="E161" s="2" t="str">
        <f t="shared" si="8"/>
        <v>❌ Beda</v>
      </c>
      <c r="F161" s="19" t="str">
        <f t="shared" si="9"/>
        <v>saran vs keluhan</v>
      </c>
    </row>
    <row r="162" spans="1:6" ht="28" customHeight="1" x14ac:dyDescent="0.35">
      <c r="A162" s="20">
        <v>64</v>
      </c>
      <c r="B162" s="21" t="s">
        <v>166</v>
      </c>
      <c r="C162" s="4" t="str">
        <f>'🅰️ ANOTATOR A'!D150</f>
        <v>keluhan</v>
      </c>
      <c r="D162" s="18" t="str">
        <f>'🅱️ ANOTATOR B'!D150</f>
        <v>keluhan</v>
      </c>
      <c r="E162" s="8" t="str">
        <f t="shared" si="8"/>
        <v>✅ Sama</v>
      </c>
      <c r="F162" s="22" t="str">
        <f t="shared" si="9"/>
        <v/>
      </c>
    </row>
    <row r="163" spans="1:6" ht="28" customHeight="1" x14ac:dyDescent="0.35">
      <c r="A163" s="16">
        <v>65</v>
      </c>
      <c r="B163" s="17" t="s">
        <v>167</v>
      </c>
      <c r="C163" s="4" t="str">
        <f>'🅰️ ANOTATOR A'!D151</f>
        <v>saran</v>
      </c>
      <c r="D163" s="18" t="str">
        <f>'🅱️ ANOTATOR B'!D151</f>
        <v>saran</v>
      </c>
      <c r="E163" s="2" t="str">
        <f t="shared" ref="E163:E188" si="10">IF(C163=D163,"✅ Sama","❌ Beda")</f>
        <v>✅ Sama</v>
      </c>
      <c r="F163" s="19" t="str">
        <f t="shared" ref="F163:F188" si="11">IF(C163&lt;&gt;D163,C163&amp;" vs "&amp;D163,"")</f>
        <v/>
      </c>
    </row>
    <row r="164" spans="1:6" ht="28" customHeight="1" x14ac:dyDescent="0.35">
      <c r="A164" s="20">
        <v>66</v>
      </c>
      <c r="B164" s="21" t="s">
        <v>168</v>
      </c>
      <c r="C164" s="4" t="str">
        <f>'🅰️ ANOTATOR A'!D152</f>
        <v>darurat</v>
      </c>
      <c r="D164" s="18" t="str">
        <f>'🅱️ ANOTATOR B'!D152</f>
        <v>darurat</v>
      </c>
      <c r="E164" s="8" t="str">
        <f t="shared" si="10"/>
        <v>✅ Sama</v>
      </c>
      <c r="F164" s="22" t="str">
        <f t="shared" si="11"/>
        <v/>
      </c>
    </row>
    <row r="165" spans="1:6" ht="28" customHeight="1" x14ac:dyDescent="0.35">
      <c r="A165" s="16">
        <v>67</v>
      </c>
      <c r="B165" s="17" t="s">
        <v>169</v>
      </c>
      <c r="C165" s="4" t="str">
        <f>'🅰️ ANOTATOR A'!D153</f>
        <v>permintaan</v>
      </c>
      <c r="D165" s="18" t="str">
        <f>'🅱️ ANOTATOR B'!D153</f>
        <v>keluhan</v>
      </c>
      <c r="E165" s="2" t="str">
        <f t="shared" si="10"/>
        <v>❌ Beda</v>
      </c>
      <c r="F165" s="19" t="str">
        <f t="shared" si="11"/>
        <v>permintaan vs keluhan</v>
      </c>
    </row>
    <row r="166" spans="1:6" ht="28" customHeight="1" x14ac:dyDescent="0.35">
      <c r="A166" s="20">
        <v>68</v>
      </c>
      <c r="B166" s="21" t="s">
        <v>170</v>
      </c>
      <c r="C166" s="4" t="str">
        <f>'🅰️ ANOTATOR A'!D154</f>
        <v>keluhan</v>
      </c>
      <c r="D166" s="18" t="str">
        <f>'🅱️ ANOTATOR B'!D154</f>
        <v>keluhan</v>
      </c>
      <c r="E166" s="8" t="str">
        <f t="shared" si="10"/>
        <v>✅ Sama</v>
      </c>
      <c r="F166" s="22" t="str">
        <f t="shared" si="11"/>
        <v/>
      </c>
    </row>
    <row r="167" spans="1:6" ht="28" customHeight="1" x14ac:dyDescent="0.35">
      <c r="A167" s="16">
        <v>69</v>
      </c>
      <c r="B167" s="17" t="s">
        <v>171</v>
      </c>
      <c r="C167" s="4" t="str">
        <f>'🅰️ ANOTATOR A'!D155</f>
        <v>keluhan</v>
      </c>
      <c r="D167" s="18" t="str">
        <f>'🅱️ ANOTATOR B'!D155</f>
        <v>keluhan</v>
      </c>
      <c r="E167" s="2" t="str">
        <f t="shared" si="10"/>
        <v>✅ Sama</v>
      </c>
      <c r="F167" s="19" t="str">
        <f t="shared" si="11"/>
        <v/>
      </c>
    </row>
    <row r="168" spans="1:6" ht="28" customHeight="1" x14ac:dyDescent="0.35">
      <c r="A168" s="20">
        <v>70</v>
      </c>
      <c r="B168" s="21" t="s">
        <v>172</v>
      </c>
      <c r="C168" s="4" t="str">
        <f>'🅰️ ANOTATOR A'!D156</f>
        <v>apresiasi</v>
      </c>
      <c r="D168" s="18" t="str">
        <f>'🅱️ ANOTATOR B'!D156</f>
        <v>apresiasi</v>
      </c>
      <c r="E168" s="8" t="str">
        <f t="shared" si="10"/>
        <v>✅ Sama</v>
      </c>
      <c r="F168" s="22" t="str">
        <f t="shared" si="11"/>
        <v/>
      </c>
    </row>
    <row r="169" spans="1:6" ht="28" customHeight="1" x14ac:dyDescent="0.35">
      <c r="A169" s="16">
        <v>71</v>
      </c>
      <c r="B169" s="17" t="s">
        <v>173</v>
      </c>
      <c r="C169" s="4" t="str">
        <f>'🅰️ ANOTATOR A'!D157</f>
        <v>apresiasi</v>
      </c>
      <c r="D169" s="18" t="str">
        <f>'🅱️ ANOTATOR B'!D157</f>
        <v>apresiasi</v>
      </c>
      <c r="E169" s="2" t="str">
        <f t="shared" si="10"/>
        <v>✅ Sama</v>
      </c>
      <c r="F169" s="19" t="str">
        <f t="shared" si="11"/>
        <v/>
      </c>
    </row>
    <row r="170" spans="1:6" ht="28" customHeight="1" x14ac:dyDescent="0.35">
      <c r="A170" s="20">
        <v>72</v>
      </c>
      <c r="B170" s="21" t="s">
        <v>174</v>
      </c>
      <c r="C170" s="4" t="str">
        <f>'🅰️ ANOTATOR A'!D158</f>
        <v>apresiasi</v>
      </c>
      <c r="D170" s="18" t="str">
        <f>'🅱️ ANOTATOR B'!D158</f>
        <v>apresiasi</v>
      </c>
      <c r="E170" s="8" t="str">
        <f t="shared" si="10"/>
        <v>✅ Sama</v>
      </c>
      <c r="F170" s="22" t="str">
        <f t="shared" si="11"/>
        <v/>
      </c>
    </row>
    <row r="171" spans="1:6" ht="28" customHeight="1" x14ac:dyDescent="0.35">
      <c r="A171" s="16">
        <v>73</v>
      </c>
      <c r="B171" s="17" t="s">
        <v>175</v>
      </c>
      <c r="C171" s="4" t="str">
        <f>'🅰️ ANOTATOR A'!D159</f>
        <v>permintaan</v>
      </c>
      <c r="D171" s="18" t="str">
        <f>'🅱️ ANOTATOR B'!D159</f>
        <v>saran</v>
      </c>
      <c r="E171" s="2" t="str">
        <f t="shared" si="10"/>
        <v>❌ Beda</v>
      </c>
      <c r="F171" s="19" t="str">
        <f t="shared" si="11"/>
        <v>permintaan vs saran</v>
      </c>
    </row>
    <row r="172" spans="1:6" ht="28" customHeight="1" x14ac:dyDescent="0.35">
      <c r="A172" s="20">
        <v>74</v>
      </c>
      <c r="B172" s="21" t="s">
        <v>176</v>
      </c>
      <c r="C172" s="4" t="str">
        <f>'🅰️ ANOTATOR A'!D160</f>
        <v>saran</v>
      </c>
      <c r="D172" s="18" t="str">
        <f>'🅱️ ANOTATOR B'!D160</f>
        <v>saran</v>
      </c>
      <c r="E172" s="8" t="str">
        <f t="shared" si="10"/>
        <v>✅ Sama</v>
      </c>
      <c r="F172" s="22" t="str">
        <f t="shared" si="11"/>
        <v/>
      </c>
    </row>
    <row r="173" spans="1:6" ht="28" customHeight="1" x14ac:dyDescent="0.35">
      <c r="A173" s="16">
        <v>75</v>
      </c>
      <c r="B173" s="17" t="s">
        <v>177</v>
      </c>
      <c r="C173" s="4" t="str">
        <f>'🅰️ ANOTATOR A'!D161</f>
        <v>permintaan</v>
      </c>
      <c r="D173" s="18" t="str">
        <f>'🅱️ ANOTATOR B'!D161</f>
        <v>saran</v>
      </c>
      <c r="E173" s="2" t="str">
        <f t="shared" si="10"/>
        <v>❌ Beda</v>
      </c>
      <c r="F173" s="19" t="str">
        <f t="shared" si="11"/>
        <v>permintaan vs saran</v>
      </c>
    </row>
    <row r="174" spans="1:6" ht="28" customHeight="1" x14ac:dyDescent="0.35">
      <c r="A174" s="20">
        <v>76</v>
      </c>
      <c r="B174" s="21" t="s">
        <v>178</v>
      </c>
      <c r="C174" s="4" t="str">
        <f>'🅰️ ANOTATOR A'!D162</f>
        <v>permintaan</v>
      </c>
      <c r="D174" s="18" t="str">
        <f>'🅱️ ANOTATOR B'!D162</f>
        <v>permintaan</v>
      </c>
      <c r="E174" s="8" t="str">
        <f t="shared" si="10"/>
        <v>✅ Sama</v>
      </c>
      <c r="F174" s="22" t="str">
        <f t="shared" si="11"/>
        <v/>
      </c>
    </row>
    <row r="175" spans="1:6" ht="28" customHeight="1" x14ac:dyDescent="0.35">
      <c r="A175" s="16">
        <v>77</v>
      </c>
      <c r="B175" s="17" t="s">
        <v>179</v>
      </c>
      <c r="C175" s="4" t="str">
        <f>'🅰️ ANOTATOR A'!D163</f>
        <v>apresiasi</v>
      </c>
      <c r="D175" s="18" t="str">
        <f>'🅱️ ANOTATOR B'!D163</f>
        <v>apresiasi</v>
      </c>
      <c r="E175" s="2" t="str">
        <f t="shared" si="10"/>
        <v>✅ Sama</v>
      </c>
      <c r="F175" s="19" t="str">
        <f t="shared" si="11"/>
        <v/>
      </c>
    </row>
    <row r="176" spans="1:6" ht="28" customHeight="1" x14ac:dyDescent="0.35">
      <c r="A176" s="20">
        <v>78</v>
      </c>
      <c r="B176" s="21" t="s">
        <v>180</v>
      </c>
      <c r="C176" s="4" t="str">
        <f>'🅰️ ANOTATOR A'!D164</f>
        <v>keluhan</v>
      </c>
      <c r="D176" s="18" t="str">
        <f>'🅱️ ANOTATOR B'!D164</f>
        <v>permintaan</v>
      </c>
      <c r="E176" s="8" t="str">
        <f t="shared" si="10"/>
        <v>❌ Beda</v>
      </c>
      <c r="F176" s="22" t="str">
        <f t="shared" si="11"/>
        <v>keluhan vs permintaan</v>
      </c>
    </row>
    <row r="177" spans="1:6" ht="28" customHeight="1" x14ac:dyDescent="0.35">
      <c r="A177" s="16">
        <v>79</v>
      </c>
      <c r="B177" s="17" t="s">
        <v>181</v>
      </c>
      <c r="C177" s="4" t="str">
        <f>'🅰️ ANOTATOR A'!D165</f>
        <v>apresiasi</v>
      </c>
      <c r="D177" s="18" t="str">
        <f>'🅱️ ANOTATOR B'!D165</f>
        <v>apresiasi</v>
      </c>
      <c r="E177" s="2" t="str">
        <f t="shared" si="10"/>
        <v>✅ Sama</v>
      </c>
      <c r="F177" s="19" t="str">
        <f t="shared" si="11"/>
        <v/>
      </c>
    </row>
    <row r="178" spans="1:6" ht="28" customHeight="1" x14ac:dyDescent="0.35">
      <c r="A178" s="20">
        <v>80</v>
      </c>
      <c r="B178" s="21" t="s">
        <v>182</v>
      </c>
      <c r="C178" s="4" t="str">
        <f>'🅰️ ANOTATOR A'!D166</f>
        <v>darurat</v>
      </c>
      <c r="D178" s="18" t="str">
        <f>'🅱️ ANOTATOR B'!D166</f>
        <v>darurat</v>
      </c>
      <c r="E178" s="8" t="str">
        <f t="shared" si="10"/>
        <v>✅ Sama</v>
      </c>
      <c r="F178" s="22" t="str">
        <f t="shared" si="11"/>
        <v/>
      </c>
    </row>
    <row r="179" spans="1:6" ht="28" customHeight="1" x14ac:dyDescent="0.35">
      <c r="A179" s="16">
        <v>81</v>
      </c>
      <c r="B179" s="17" t="s">
        <v>154</v>
      </c>
      <c r="C179" s="4" t="str">
        <f>'🅰️ ANOTATOR A'!D167</f>
        <v>apresiasi</v>
      </c>
      <c r="D179" s="18" t="str">
        <f>'🅱️ ANOTATOR B'!D167</f>
        <v>apresiasi</v>
      </c>
      <c r="E179" s="2" t="str">
        <f t="shared" si="10"/>
        <v>✅ Sama</v>
      </c>
      <c r="F179" s="19" t="str">
        <f t="shared" si="11"/>
        <v/>
      </c>
    </row>
    <row r="180" spans="1:6" ht="28" customHeight="1" x14ac:dyDescent="0.35">
      <c r="A180" s="20">
        <v>82</v>
      </c>
      <c r="B180" s="21" t="s">
        <v>183</v>
      </c>
      <c r="C180" s="4" t="str">
        <f>'🅰️ ANOTATOR A'!D168</f>
        <v>permintaan</v>
      </c>
      <c r="D180" s="18" t="str">
        <f>'🅱️ ANOTATOR B'!D168</f>
        <v>permintaan</v>
      </c>
      <c r="E180" s="8" t="str">
        <f t="shared" si="10"/>
        <v>✅ Sama</v>
      </c>
      <c r="F180" s="22" t="str">
        <f t="shared" si="11"/>
        <v/>
      </c>
    </row>
    <row r="181" spans="1:6" ht="28" customHeight="1" x14ac:dyDescent="0.35">
      <c r="A181" s="16">
        <v>83</v>
      </c>
      <c r="B181" s="17" t="s">
        <v>184</v>
      </c>
      <c r="C181" s="4" t="str">
        <f>'🅰️ ANOTATOR A'!D169</f>
        <v>permintaan</v>
      </c>
      <c r="D181" s="18" t="str">
        <f>'🅱️ ANOTATOR B'!D169</f>
        <v>permintaan</v>
      </c>
      <c r="E181" s="2" t="str">
        <f t="shared" si="10"/>
        <v>✅ Sama</v>
      </c>
      <c r="F181" s="19" t="str">
        <f t="shared" si="11"/>
        <v/>
      </c>
    </row>
    <row r="182" spans="1:6" ht="28" customHeight="1" x14ac:dyDescent="0.35">
      <c r="A182" s="20">
        <v>84</v>
      </c>
      <c r="B182" s="21" t="s">
        <v>185</v>
      </c>
      <c r="C182" s="4" t="str">
        <f>'🅰️ ANOTATOR A'!D170</f>
        <v>apresiasi</v>
      </c>
      <c r="D182" s="18" t="str">
        <f>'🅱️ ANOTATOR B'!D170</f>
        <v>apresiasi</v>
      </c>
      <c r="E182" s="8" t="str">
        <f t="shared" si="10"/>
        <v>✅ Sama</v>
      </c>
      <c r="F182" s="22" t="str">
        <f t="shared" si="11"/>
        <v/>
      </c>
    </row>
    <row r="183" spans="1:6" ht="28" customHeight="1" x14ac:dyDescent="0.35">
      <c r="A183" s="16">
        <v>85</v>
      </c>
      <c r="B183" s="17" t="s">
        <v>186</v>
      </c>
      <c r="C183" s="4" t="str">
        <f>'🅰️ ANOTATOR A'!D171</f>
        <v>apresiasi</v>
      </c>
      <c r="D183" s="18" t="str">
        <f>'🅱️ ANOTATOR B'!D171</f>
        <v>apresiasi</v>
      </c>
      <c r="E183" s="2" t="str">
        <f t="shared" si="10"/>
        <v>✅ Sama</v>
      </c>
      <c r="F183" s="19" t="str">
        <f t="shared" si="11"/>
        <v/>
      </c>
    </row>
    <row r="184" spans="1:6" ht="28" customHeight="1" x14ac:dyDescent="0.35">
      <c r="A184" s="20">
        <v>86</v>
      </c>
      <c r="B184" s="21" t="s">
        <v>187</v>
      </c>
      <c r="C184" s="4" t="str">
        <f>'🅰️ ANOTATOR A'!D172</f>
        <v>darurat</v>
      </c>
      <c r="D184" s="18" t="str">
        <f>'🅱️ ANOTATOR B'!D172</f>
        <v>darurat</v>
      </c>
      <c r="E184" s="8" t="str">
        <f t="shared" si="10"/>
        <v>✅ Sama</v>
      </c>
      <c r="F184" s="22" t="str">
        <f t="shared" si="11"/>
        <v/>
      </c>
    </row>
    <row r="185" spans="1:6" ht="28" customHeight="1" x14ac:dyDescent="0.35">
      <c r="A185" s="16">
        <v>87</v>
      </c>
      <c r="B185" s="17" t="s">
        <v>188</v>
      </c>
      <c r="C185" s="4" t="str">
        <f>'🅰️ ANOTATOR A'!D173</f>
        <v>darurat</v>
      </c>
      <c r="D185" s="18" t="str">
        <f>'🅱️ ANOTATOR B'!D173</f>
        <v>darurat</v>
      </c>
      <c r="E185" s="2" t="str">
        <f t="shared" si="10"/>
        <v>✅ Sama</v>
      </c>
      <c r="F185" s="19" t="str">
        <f t="shared" si="11"/>
        <v/>
      </c>
    </row>
    <row r="186" spans="1:6" ht="28" customHeight="1" x14ac:dyDescent="0.35">
      <c r="A186" s="20">
        <v>88</v>
      </c>
      <c r="B186" s="21" t="s">
        <v>189</v>
      </c>
      <c r="C186" s="4" t="str">
        <f>'🅰️ ANOTATOR A'!D174</f>
        <v>keluhan</v>
      </c>
      <c r="D186" s="18" t="str">
        <f>'🅱️ ANOTATOR B'!D174</f>
        <v>keluhan</v>
      </c>
      <c r="E186" s="8" t="str">
        <f t="shared" si="10"/>
        <v>✅ Sama</v>
      </c>
      <c r="F186" s="22" t="str">
        <f t="shared" si="11"/>
        <v/>
      </c>
    </row>
    <row r="187" spans="1:6" ht="28" customHeight="1" x14ac:dyDescent="0.35">
      <c r="A187" s="16">
        <v>89</v>
      </c>
      <c r="B187" s="17" t="s">
        <v>190</v>
      </c>
      <c r="C187" s="4" t="str">
        <f>'🅰️ ANOTATOR A'!D175</f>
        <v>apresiasi</v>
      </c>
      <c r="D187" s="18" t="str">
        <f>'🅱️ ANOTATOR B'!D175</f>
        <v>apresiasi</v>
      </c>
      <c r="E187" s="2" t="str">
        <f t="shared" si="10"/>
        <v>✅ Sama</v>
      </c>
      <c r="F187" s="19" t="str">
        <f t="shared" si="11"/>
        <v/>
      </c>
    </row>
    <row r="188" spans="1:6" ht="28" customHeight="1" x14ac:dyDescent="0.35">
      <c r="A188" s="20">
        <v>90</v>
      </c>
      <c r="B188" s="21" t="s">
        <v>191</v>
      </c>
      <c r="C188" s="4" t="str">
        <f>'🅰️ ANOTATOR A'!D176</f>
        <v>apresiasi</v>
      </c>
      <c r="D188" s="18" t="str">
        <f>'🅱️ ANOTATOR B'!D176</f>
        <v>apresiasi</v>
      </c>
      <c r="E188" s="8" t="str">
        <f t="shared" si="10"/>
        <v>✅ Sama</v>
      </c>
      <c r="F188" s="22" t="str">
        <f t="shared" si="11"/>
        <v/>
      </c>
    </row>
  </sheetData>
  <mergeCells count="11">
    <mergeCell ref="A1:F1"/>
    <mergeCell ref="A8:C8"/>
    <mergeCell ref="A6:C6"/>
    <mergeCell ref="A9:F9"/>
    <mergeCell ref="A97:F97"/>
    <mergeCell ref="A12:F12"/>
    <mergeCell ref="A4:F4"/>
    <mergeCell ref="A7:C7"/>
    <mergeCell ref="A2:F2"/>
    <mergeCell ref="A10:F10"/>
    <mergeCell ref="A5:C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8"/>
  <sheetViews>
    <sheetView showGridLines="0" topLeftCell="A8" workbookViewId="0">
      <selection sqref="A1:C1"/>
    </sheetView>
  </sheetViews>
  <sheetFormatPr defaultRowHeight="14.5" x14ac:dyDescent="0.35"/>
  <cols>
    <col min="1" max="1" width="16" customWidth="1"/>
    <col min="2" max="3" width="42" customWidth="1"/>
  </cols>
  <sheetData>
    <row r="1" spans="1:3" ht="28" customHeight="1" x14ac:dyDescent="0.35">
      <c r="A1" s="48" t="s">
        <v>210</v>
      </c>
      <c r="B1" s="29"/>
      <c r="C1" s="29"/>
    </row>
    <row r="2" spans="1:3" ht="22" customHeight="1" x14ac:dyDescent="0.35">
      <c r="A2" s="43" t="s">
        <v>211</v>
      </c>
      <c r="B2" s="29"/>
      <c r="C2" s="29"/>
    </row>
    <row r="3" spans="1:3" ht="26" customHeight="1" x14ac:dyDescent="0.35">
      <c r="A3" s="23" t="s">
        <v>212</v>
      </c>
      <c r="B3" s="23" t="s">
        <v>213</v>
      </c>
      <c r="C3" s="23" t="s">
        <v>214</v>
      </c>
    </row>
    <row r="4" spans="1:3" ht="26" customHeight="1" x14ac:dyDescent="0.35">
      <c r="A4" s="24" t="s">
        <v>215</v>
      </c>
      <c r="B4" s="9" t="s">
        <v>216</v>
      </c>
      <c r="C4" s="9" t="s">
        <v>217</v>
      </c>
    </row>
    <row r="5" spans="1:3" ht="26" customHeight="1" x14ac:dyDescent="0.35">
      <c r="A5" s="24" t="s">
        <v>218</v>
      </c>
      <c r="B5" s="9" t="s">
        <v>219</v>
      </c>
      <c r="C5" s="9" t="s">
        <v>220</v>
      </c>
    </row>
    <row r="6" spans="1:3" ht="26" customHeight="1" x14ac:dyDescent="0.35">
      <c r="A6" s="24" t="s">
        <v>221</v>
      </c>
      <c r="B6" s="9" t="s">
        <v>222</v>
      </c>
      <c r="C6" s="9" t="s">
        <v>223</v>
      </c>
    </row>
    <row r="7" spans="1:3" ht="22" customHeight="1" x14ac:dyDescent="0.35">
      <c r="A7" s="41" t="s">
        <v>224</v>
      </c>
      <c r="B7" s="29"/>
      <c r="C7" s="29"/>
    </row>
    <row r="8" spans="1:3" ht="26" customHeight="1" x14ac:dyDescent="0.35">
      <c r="A8" s="25" t="s">
        <v>212</v>
      </c>
      <c r="B8" s="25" t="s">
        <v>213</v>
      </c>
      <c r="C8" s="25" t="s">
        <v>214</v>
      </c>
    </row>
    <row r="9" spans="1:3" ht="26" customHeight="1" x14ac:dyDescent="0.35">
      <c r="A9" s="26" t="s">
        <v>225</v>
      </c>
      <c r="B9" s="9" t="s">
        <v>226</v>
      </c>
      <c r="C9" s="9" t="s">
        <v>227</v>
      </c>
    </row>
    <row r="10" spans="1:3" ht="26" customHeight="1" x14ac:dyDescent="0.35">
      <c r="A10" s="26" t="s">
        <v>228</v>
      </c>
      <c r="B10" s="9" t="s">
        <v>229</v>
      </c>
      <c r="C10" s="9" t="s">
        <v>230</v>
      </c>
    </row>
    <row r="11" spans="1:3" ht="26" customHeight="1" x14ac:dyDescent="0.35">
      <c r="A11" s="26" t="s">
        <v>231</v>
      </c>
      <c r="B11" s="9" t="s">
        <v>232</v>
      </c>
      <c r="C11" s="9" t="s">
        <v>233</v>
      </c>
    </row>
    <row r="12" spans="1:3" ht="26" customHeight="1" x14ac:dyDescent="0.35">
      <c r="A12" s="26" t="s">
        <v>234</v>
      </c>
      <c r="B12" s="9" t="s">
        <v>235</v>
      </c>
      <c r="C12" s="9" t="s">
        <v>236</v>
      </c>
    </row>
    <row r="13" spans="1:3" ht="26" customHeight="1" x14ac:dyDescent="0.35">
      <c r="A13" s="26" t="s">
        <v>237</v>
      </c>
      <c r="B13" s="9" t="s">
        <v>238</v>
      </c>
      <c r="C13" s="9" t="s">
        <v>239</v>
      </c>
    </row>
    <row r="14" spans="1:3" ht="24" customHeight="1" x14ac:dyDescent="0.35">
      <c r="A14" s="50" t="s">
        <v>240</v>
      </c>
      <c r="B14" s="29"/>
      <c r="C14" s="29"/>
    </row>
    <row r="15" spans="1:3" ht="36" customHeight="1" x14ac:dyDescent="0.35">
      <c r="A15" s="27" t="s">
        <v>241</v>
      </c>
      <c r="B15" s="21" t="s">
        <v>242</v>
      </c>
      <c r="C15" s="21" t="s">
        <v>243</v>
      </c>
    </row>
    <row r="16" spans="1:3" ht="36" customHeight="1" x14ac:dyDescent="0.35">
      <c r="A16" s="27" t="s">
        <v>244</v>
      </c>
      <c r="B16" s="21" t="s">
        <v>245</v>
      </c>
      <c r="C16" s="21" t="s">
        <v>246</v>
      </c>
    </row>
    <row r="17" spans="1:3" ht="36" customHeight="1" x14ac:dyDescent="0.35">
      <c r="A17" s="27" t="s">
        <v>247</v>
      </c>
      <c r="B17" s="21" t="s">
        <v>248</v>
      </c>
      <c r="C17" s="21" t="s">
        <v>249</v>
      </c>
    </row>
    <row r="18" spans="1:3" ht="36" customHeight="1" x14ac:dyDescent="0.35">
      <c r="A18" s="27" t="s">
        <v>250</v>
      </c>
      <c r="B18" s="21" t="s">
        <v>251</v>
      </c>
      <c r="C18" s="21" t="s">
        <v>252</v>
      </c>
    </row>
  </sheetData>
  <mergeCells count="4">
    <mergeCell ref="A1:C1"/>
    <mergeCell ref="A7:C7"/>
    <mergeCell ref="A14:C14"/>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 PETUNJUK</vt:lpstr>
      <vt:lpstr>🅰️ ANOTATOR A</vt:lpstr>
      <vt:lpstr>🅱️ ANOTATOR B</vt:lpstr>
      <vt:lpstr>📊 HASIL IAA</vt:lpstr>
      <vt:lpstr>📖 REFERENSI LABEL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Kartika Dwi Mulyana</cp:lastModifiedBy>
  <dcterms:created xsi:type="dcterms:W3CDTF">2026-05-29T03:43:44Z</dcterms:created>
  <dcterms:modified xsi:type="dcterms:W3CDTF">2026-05-29T06:35:54Z</dcterms:modified>
</cp:coreProperties>
</file>